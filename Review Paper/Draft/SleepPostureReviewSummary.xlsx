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uhammad.Nadeem\Documents\GitHub\Sleep-Posture\Review Paper\Draft\"/>
    </mc:Choice>
  </mc:AlternateContent>
  <xr:revisionPtr revIDLastSave="0" documentId="13_ncr:1_{E30E3171-41D1-4E86-B6D2-25AAD5622149}" xr6:coauthVersionLast="47" xr6:coauthVersionMax="47" xr10:uidLastSave="{00000000-0000-0000-0000-000000000000}"/>
  <bookViews>
    <workbookView xWindow="-120" yWindow="-120" windowWidth="29040" windowHeight="15720" xr2:uid="{00000000-000D-0000-FFFF-FFFF00000000}"/>
  </bookViews>
  <sheets>
    <sheet name="Summary" sheetId="3" r:id="rId1"/>
    <sheet name="Sensor type" sheetId="6" r:id="rId2"/>
    <sheet name="ArrayvsAsymmetric" sheetId="7" r:id="rId3"/>
    <sheet name="sensors vs posture" sheetId="8" r:id="rId4"/>
    <sheet name="Summary old" sheetId="5" r:id="rId5"/>
    <sheet name="sorted" sheetId="4" r:id="rId6"/>
    <sheet name="Sheet1"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 i="3" l="1"/>
  <c r="B112" i="3"/>
  <c r="B106" i="3" l="1"/>
  <c r="B107" i="3"/>
  <c r="B108" i="3"/>
  <c r="B109" i="3"/>
  <c r="B110" i="3"/>
  <c r="B104" i="3" l="1"/>
  <c r="B105" i="3"/>
  <c r="B103" i="3"/>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2" i="3"/>
</calcChain>
</file>

<file path=xl/sharedStrings.xml><?xml version="1.0" encoding="utf-8"?>
<sst xmlns="http://schemas.openxmlformats.org/spreadsheetml/2006/main" count="3872" uniqueCount="2472">
  <si>
    <t>Title</t>
  </si>
  <si>
    <t>Auther</t>
  </si>
  <si>
    <t>Year</t>
  </si>
  <si>
    <t>Sensor Type</t>
  </si>
  <si>
    <t>Sensor material</t>
  </si>
  <si>
    <t>Sensor Model</t>
  </si>
  <si>
    <t>Sensors embedded in</t>
  </si>
  <si>
    <t># of sensors</t>
  </si>
  <si>
    <t>Sensor Technology</t>
  </si>
  <si>
    <t>A comparative study on real-time sitting posture monitoring systems using pressure sensors</t>
  </si>
  <si>
    <t>Zhao</t>
  </si>
  <si>
    <t>FSR</t>
  </si>
  <si>
    <t>No</t>
  </si>
  <si>
    <t>5 Pressure sensors</t>
  </si>
  <si>
    <t>IoT System for Real-Time Posture Asymmetry Detection</t>
  </si>
  <si>
    <t>Mura</t>
  </si>
  <si>
    <t>nanomaterial-based pressure-sensitive film</t>
  </si>
  <si>
    <t>DF9-40</t>
  </si>
  <si>
    <t xml:space="preserve">Cushion- </t>
  </si>
  <si>
    <t>Pressure sensor</t>
  </si>
  <si>
    <t>Research and Application of Sitting Posture Correction Design Based on Artificial Intelligence</t>
  </si>
  <si>
    <t>Wang</t>
  </si>
  <si>
    <t>Thin film</t>
  </si>
  <si>
    <t>IMS-C20A</t>
  </si>
  <si>
    <t>wearable robotics device</t>
  </si>
  <si>
    <t>32x32</t>
  </si>
  <si>
    <t>Pressure sensor array</t>
  </si>
  <si>
    <t>Intelligent Active Correction Seat Based on Neural Network Sitting Posture Recognition</t>
  </si>
  <si>
    <t>Liang</t>
  </si>
  <si>
    <t>resistance strain gauge</t>
  </si>
  <si>
    <t xml:space="preserve">BF350 high-precision </t>
  </si>
  <si>
    <t>Cushion</t>
  </si>
  <si>
    <t>Cushion Pressure Gauge_x000D_</t>
  </si>
  <si>
    <t xml:space="preserve">Smart Seat With Real-Time Asymmetrical Sitting Alert </t>
  </si>
  <si>
    <t xml:space="preserve"> Lamberti </t>
  </si>
  <si>
    <t>cushion equipped with four commercial pressure sensors</t>
  </si>
  <si>
    <t>Knitted self-powered sensing textiles for machine learning-assisted
sitting posture monitoring and correction_x000D_</t>
  </si>
  <si>
    <t>Jiang</t>
  </si>
  <si>
    <t>Textile</t>
  </si>
  <si>
    <t>8 wearable sensor, 8 sensors</t>
  </si>
  <si>
    <t>Posture Alert</t>
  </si>
  <si>
    <t>Muppavaram</t>
  </si>
  <si>
    <t>FSR 406</t>
  </si>
  <si>
    <t>Seat</t>
  </si>
  <si>
    <t>FSR-Based Smart System for Detection of Wheelchair Sitting
Postures Using Machine Learning Algorithms and Techniques</t>
  </si>
  <si>
    <t>Jaffery</t>
  </si>
  <si>
    <t>seat</t>
  </si>
  <si>
    <t xml:space="preserve"> FSR sensors</t>
  </si>
  <si>
    <t>A Proposal of Implementation of Sitting Posture Monitoring
System for Wheelchair Utilizing Machine Learning Methods</t>
  </si>
  <si>
    <t>Ahmad</t>
  </si>
  <si>
    <t>Pressure</t>
  </si>
  <si>
    <t>Custom:Ag-Flake ink
Piezoresistive</t>
  </si>
  <si>
    <t>CI-2062 by ECM) and (CI-7031 by ECM</t>
  </si>
  <si>
    <t>16
4x4</t>
  </si>
  <si>
    <t>Pressure Sensor</t>
  </si>
  <si>
    <t>Smart-Cover: A real time sitting posture monitoring system</t>
  </si>
  <si>
    <t>Anwary</t>
  </si>
  <si>
    <t>Pressure- Textile</t>
  </si>
  <si>
    <t>Custom: piezoresistive
 Velostat, conductive fabric</t>
  </si>
  <si>
    <t>Cushion-seat</t>
  </si>
  <si>
    <t>Sitting Pressure Sensor (SPS)</t>
  </si>
  <si>
    <t>Improved Self-Organizing Map-Based Unsupervised Learning
Algorithm for Sitting Posture Recognition System</t>
  </si>
  <si>
    <t>Cai</t>
  </si>
  <si>
    <t>Flexible</t>
  </si>
  <si>
    <t>1024
32x32</t>
  </si>
  <si>
    <t>IoT Device for Sitting Posture Classification Using Artificial
Neural Networks</t>
  </si>
  <si>
    <t>Luna-Perejón</t>
  </si>
  <si>
    <t>(FSR01CE, Ohmite</t>
  </si>
  <si>
    <t>Force Sensitive
Resistors (FSR)</t>
  </si>
  <si>
    <t>A portable sitting posture monitoring system based on a pressure sensor array and machine learning</t>
  </si>
  <si>
    <t>Ran</t>
  </si>
  <si>
    <r>
      <rPr>
        <sz val="11"/>
        <color rgb="FF000000"/>
        <rFont val="Calibri"/>
        <scheme val="minor"/>
      </rPr>
      <t xml:space="preserve">
</t>
    </r>
    <r>
      <rPr>
        <sz val="11"/>
        <color rgb="FF000000"/>
        <rFont val="Calibri"/>
        <scheme val="minor"/>
      </rPr>
      <t>lexible polyester substrate</t>
    </r>
  </si>
  <si>
    <t>IMM00014, I-MOTION</t>
  </si>
  <si>
    <t>11x13</t>
  </si>
  <si>
    <t>Pressure sensors</t>
  </si>
  <si>
    <t>SeatPlus: A smart health chair supporting active sitting posture correction</t>
  </si>
  <si>
    <t>Shen</t>
  </si>
  <si>
    <t xml:space="preserve">
Memory Foam</t>
  </si>
  <si>
    <t>Airbag on back</t>
  </si>
  <si>
    <t>membrane pressure sensors</t>
  </si>
  <si>
    <t>Hip Positioning and Sitting Posture Recognition Based on Human Sitting Pressure Image</t>
  </si>
  <si>
    <t>Wan</t>
  </si>
  <si>
    <t>Body Pressure Measurement System (BPMS)</t>
  </si>
  <si>
    <t>Posture Prediction for Healthy Sitting using a Smart  Chair</t>
  </si>
  <si>
    <t>Gelaw</t>
  </si>
  <si>
    <t>MEMS</t>
  </si>
  <si>
    <t>32+32 pressure sensors</t>
  </si>
  <si>
    <t>Intelligent Posture Training: Machine-Learning-Powered Human Sitting Posture Recognition Based on a Pressure-Sensing IoT Cushion</t>
  </si>
  <si>
    <t>Bourahmoune</t>
  </si>
  <si>
    <t>Pressure - Textile</t>
  </si>
  <si>
    <t>Cushion strapped to back seat</t>
  </si>
  <si>
    <t>A deep learning based 2-dimensional hip pressure signals analysis method 
for sitting posture recognition</t>
  </si>
  <si>
    <t>Fan</t>
  </si>
  <si>
    <t>film-type piezoresistive sensor array</t>
  </si>
  <si>
    <t xml:space="preserve">44x52
</t>
  </si>
  <si>
    <t>array pressure sensor</t>
  </si>
  <si>
    <t>A Smart Chair Sitting Posture Recognition System Using Flex Sensors and FPGA Implemented Artificial Neural Network</t>
  </si>
  <si>
    <t>Hu</t>
  </si>
  <si>
    <t>Flex Sensor</t>
  </si>
  <si>
    <t>polymer ink with conductive particles and plastic flake</t>
  </si>
  <si>
    <t>FS-L-0055-253-ST</t>
  </si>
  <si>
    <t xml:space="preserve">6 Flex sensor, </t>
  </si>
  <si>
    <t>Providing a cushion for wireless healthcare application development</t>
  </si>
  <si>
    <t xml:space="preserve">Hu </t>
  </si>
  <si>
    <t>Pressure Sensor TexScan</t>
  </si>
  <si>
    <t>LifeChair: A Conductive Fabric Sensor-Based Smart Cushion for Actively Shaping Sitting Posture</t>
  </si>
  <si>
    <t>Ishac</t>
  </si>
  <si>
    <t>Pressure Sensor
Textile</t>
  </si>
  <si>
    <t>conductive fabric-based sensors</t>
  </si>
  <si>
    <t>Inverse Piezoresistive Nanocomposite Sensors for Identifying Human Sitting Posture</t>
  </si>
  <si>
    <t>Qian</t>
  </si>
  <si>
    <t>Strain Guage</t>
  </si>
  <si>
    <t>inverse piezoresistive nanocomposite sensors</t>
  </si>
  <si>
    <t>Ecoflex 00-30</t>
  </si>
  <si>
    <t>Human Back</t>
  </si>
  <si>
    <t>Strain Gauge</t>
  </si>
  <si>
    <t>Sitting Posture Monitoring System Based on a Low-Cost Load Cell Using Machine Learning</t>
  </si>
  <si>
    <t>Roh et al</t>
  </si>
  <si>
    <t>Load Cell</t>
  </si>
  <si>
    <t>P0236-I42</t>
  </si>
  <si>
    <t>cuhsio</t>
  </si>
  <si>
    <t>Inertial Sensors</t>
  </si>
  <si>
    <t>Smartphone-Based Human Sitting Behaviors Recognition
Using Inertial Sensor</t>
  </si>
  <si>
    <t>Sinha</t>
  </si>
  <si>
    <t>Inertial Sensor</t>
  </si>
  <si>
    <t>Smartphone</t>
  </si>
  <si>
    <t>sensor built in the smartphone</t>
  </si>
  <si>
    <t>Human Postures Recognition by Accelerometer Sensor and ML Architecture Integrated in Embedded Platforms: Benchmarking and Performance Evaluation</t>
  </si>
  <si>
    <t>leone</t>
  </si>
  <si>
    <t>Accelerometer</t>
  </si>
  <si>
    <t>Chest</t>
  </si>
  <si>
    <t>tri-axial accelerometer-based (shimmer device on chest)</t>
  </si>
  <si>
    <t>Machine Learning Algorithms Application For The Proposed Sitting Posture Monitoring System</t>
  </si>
  <si>
    <t>Tlili</t>
  </si>
  <si>
    <t>MPU6050</t>
  </si>
  <si>
    <t>Belt with two inertial sensors</t>
  </si>
  <si>
    <t>Mix sensor</t>
  </si>
  <si>
    <t>Multimodal data-based deep learning model for sitting posture recognition toward office workers’ health promotion</t>
  </si>
  <si>
    <t>Zhang</t>
  </si>
  <si>
    <t>Pressure + IR</t>
  </si>
  <si>
    <t>44x52
24x32</t>
  </si>
  <si>
    <t>pressure sensor arrays (44x52) and infrared array (24x32)</t>
  </si>
  <si>
    <t>Efficient Sitting Posture Recognition for Wheelchair Users: An Unsupervised Data-Driven Framework</t>
  </si>
  <si>
    <t>Ramakrishna</t>
  </si>
  <si>
    <t>Pressure + ultrasonic</t>
  </si>
  <si>
    <t>3 pressure sensors (on seat) and 1 ultrasonic sensor (back)</t>
  </si>
  <si>
    <t>A privacy-preserving and unobtrusive sitting posture recognition system via pressure array sensor and infrared array sensor for office workers</t>
  </si>
  <si>
    <t>Pressure + Infrared</t>
  </si>
  <si>
    <t>IR=MLX90640</t>
  </si>
  <si>
    <t xml:space="preserve">IR:24x32
Press:44x52
</t>
  </si>
  <si>
    <t xml:space="preserve">pressure sensor array  module + infrared </t>
  </si>
  <si>
    <t>Ultrasonic</t>
  </si>
  <si>
    <t>You Work We Care: Sitting Posture Assessment Based on Point Cloud Dat</t>
  </si>
  <si>
    <t>u Katayama</t>
  </si>
  <si>
    <t>IR+CMOS</t>
  </si>
  <si>
    <t>LiDAR</t>
  </si>
  <si>
    <t>RFID</t>
  </si>
  <si>
    <t>Sitsen: Passive sitting posture sensing
based on wireless devices</t>
  </si>
  <si>
    <t>Li</t>
  </si>
  <si>
    <t>Impinj R420 RFID reader</t>
  </si>
  <si>
    <t>1 tag+2 readers</t>
  </si>
  <si>
    <t>Real- Time Human Sitting Position Recognition using Wireless Sensors</t>
  </si>
  <si>
    <t>Estrada</t>
  </si>
  <si>
    <t>10 Flex sensor
wireless sensor</t>
  </si>
  <si>
    <t>J/C/B</t>
  </si>
  <si>
    <t>IoT</t>
  </si>
  <si>
    <t>Alert</t>
  </si>
  <si>
    <t>Sensor Location</t>
  </si>
  <si>
    <t>Input</t>
  </si>
  <si>
    <t>No. of Postures</t>
  </si>
  <si>
    <t>Postures</t>
  </si>
  <si>
    <t>Controller</t>
  </si>
  <si>
    <t>Algorithm</t>
  </si>
  <si>
    <t>Dataset</t>
  </si>
  <si>
    <t>Data Size</t>
  </si>
  <si>
    <t>Precision</t>
  </si>
  <si>
    <t>Accuracy</t>
  </si>
  <si>
    <t>Recall</t>
  </si>
  <si>
    <t>F1</t>
  </si>
  <si>
    <t>journal</t>
  </si>
  <si>
    <t>Assymmetric</t>
  </si>
  <si>
    <t>4 on seat one on Back</t>
  </si>
  <si>
    <t>sensor voltages</t>
  </si>
  <si>
    <t>: (a) upright, (b) leaning left, (c) leaning right, (d) leaning forward,
(e) leaning backward, (f) right leg crossed, (g) left leg crossed</t>
  </si>
  <si>
    <t>STM32F103C8T6</t>
  </si>
  <si>
    <t>k-nearest neighbors, naive
Bayes, decision trees, XGBoost, and random forest</t>
  </si>
  <si>
    <t>Customized</t>
  </si>
  <si>
    <t>Journal</t>
  </si>
  <si>
    <t>Yes-IoT</t>
  </si>
  <si>
    <t>Visual on computer</t>
  </si>
  <si>
    <t>On Seat</t>
  </si>
  <si>
    <t>Symmetrical, Asymmetrical</t>
  </si>
  <si>
    <t>Arduino Mega</t>
  </si>
  <si>
    <t>Custom</t>
  </si>
  <si>
    <t>conference</t>
  </si>
  <si>
    <t>AUdio-4 Buzzer Module</t>
  </si>
  <si>
    <t>sensor array snaphot (32x32)
Wearable robots</t>
  </si>
  <si>
    <t>Normal Sitting Posture
Forward Leaning
Backward Leaning
Left Leaning
Right Leaning
Shaking Legs
Tilting Legs
Leaving the Seat</t>
  </si>
  <si>
    <t>Arduino</t>
  </si>
  <si>
    <t>CNN (Mobile Net V1)</t>
  </si>
  <si>
    <t>NA</t>
  </si>
  <si>
    <t>On the seat</t>
  </si>
  <si>
    <t>8 +6 sensor voltage values</t>
  </si>
  <si>
    <t>1. Normal
2. Lean Left
3. Lean Right
4. Lean forward
Lean Backward</t>
  </si>
  <si>
    <t>STM32F103ZET6</t>
  </si>
  <si>
    <t>CNN</t>
  </si>
  <si>
    <t>Conference</t>
  </si>
  <si>
    <t>4 sensor values</t>
  </si>
  <si>
    <t>good or bad</t>
  </si>
  <si>
    <t>Arduino mega</t>
  </si>
  <si>
    <t>cervical spine, thoracic spine, lumbar spine, shoulder wings, and waist</t>
  </si>
  <si>
    <t>8 Sensor voltages</t>
  </si>
  <si>
    <t>1. Leaning Toward the Right
Leaning Toward the Left
Humpback Posture
Backward Posture
Sitting Idle
6. Ideal</t>
  </si>
  <si>
    <t xml:space="preserve">Computer with LabView and Python </t>
  </si>
  <si>
    <t>RF, LR, DT</t>
  </si>
  <si>
    <t>RF=96.60%</t>
  </si>
  <si>
    <t>Beep alert on Mobile application</t>
  </si>
  <si>
    <t>4 seat, 2 back, 2 arm</t>
  </si>
  <si>
    <t>8 sensor voltages</t>
  </si>
  <si>
    <t>a) Seat not in use (unoccupied)
b) User is in front of chair with legs raised
c) No contact with back (sitting forward)
d) Torso forward, no contact with back
e) Torso is lightly tilted forward (lightly forward)
f) Front of chair, leaning backward
g) Leaning left or forward left (leaning left)
h) Leaning right or forward right (leaning right)
i) Left leg crossed (left crossed)
j) Right leg crossed (right crossed)
k) Torso and legs are correctly aligned (good posture)
l) Torso/legs correctly aligned, shoulders relaxed</t>
  </si>
  <si>
    <t>Atmel324</t>
  </si>
  <si>
    <t>KNN</t>
  </si>
  <si>
    <t>10000 values</t>
  </si>
  <si>
    <t>9 on seat 
5 on seat</t>
  </si>
  <si>
    <t>3x3 matrix, 5 sensor</t>
  </si>
  <si>
    <t>ideal
position, 
forward-leaning, 
backward leaning, left-leaning,
and right-leaning</t>
  </si>
  <si>
    <t>ESP32</t>
  </si>
  <si>
    <t>(K-NN,LR,DT, SVM,LightGBM)</t>
  </si>
  <si>
    <t>custom</t>
  </si>
  <si>
    <t>16 sensor on the seat</t>
  </si>
  <si>
    <t>4x4 screen printed pressure sensor units</t>
  </si>
  <si>
    <t>right-leaning, 
left-leaning, 
forward-leaning, and 
backward-leaning postures</t>
  </si>
  <si>
    <t>ATmega-2560</t>
  </si>
  <si>
    <t>k-nearest neighbors (k-NN), support vector machines (SVM), random forest (RF), decision tree (DT)
and LightGBM</t>
  </si>
  <si>
    <t>Collected</t>
  </si>
  <si>
    <t>kNN-99.03</t>
  </si>
  <si>
    <t>Yes</t>
  </si>
  <si>
    <t>4 on the seat
2 on back</t>
  </si>
  <si>
    <t>SPS matrix data</t>
  </si>
  <si>
    <t xml:space="preserve">three levels of asymmetry: mild, moderate, and severe. </t>
  </si>
  <si>
    <t>ATmega328</t>
  </si>
  <si>
    <t>Rule based fuzzy logic</t>
  </si>
  <si>
    <t>real time collected by IoT</t>
  </si>
  <si>
    <t>data from 10 people</t>
  </si>
  <si>
    <t>&gt;80% in fuzzy</t>
  </si>
  <si>
    <t>seat
Snsor array 1024</t>
  </si>
  <si>
    <t>sensors matrix
redcuded to 32x8</t>
  </si>
  <si>
    <t>Standard sitting posture
Lean left posture
Lean right posture
Waist bow posture
Right cross-legs posture
Left cross-legs posture</t>
  </si>
  <si>
    <t>STM32 MCU</t>
  </si>
  <si>
    <t xml:space="preserve"> ISOM-based sitting posture recognition algorithm</t>
  </si>
  <si>
    <t>6 on seat</t>
  </si>
  <si>
    <t>sensors,  microcontroller unit</t>
  </si>
  <si>
    <t xml:space="preserve">Upright posture 
Reclined
Torso bent forward
torso inclined laterally to the right
torso inclined laterally to the left
right leg crossed over the left.
left leg crossed over the right
</t>
  </si>
  <si>
    <t>NUCLEO-F411RE STM32 Nucleo-64 development motherboard</t>
  </si>
  <si>
    <t>ANN</t>
  </si>
  <si>
    <t>Collected from sensors</t>
  </si>
  <si>
    <t>data from 12 people</t>
  </si>
  <si>
    <t>Vibrotactile Feedback</t>
  </si>
  <si>
    <t>on the seat</t>
  </si>
  <si>
    <t>Sensor array 11x13</t>
  </si>
  <si>
    <t xml:space="preserve"> (a) sitting upright, (b) leaning forward, (c) leaning backward, (d) leaning left, (e) leaning right, (f) cross left leg, and (g) cross right leg.</t>
  </si>
  <si>
    <t>Raspberry Pi</t>
  </si>
  <si>
    <t>Random Forest</t>
  </si>
  <si>
    <t>54x52 sensor data</t>
  </si>
  <si>
    <t>21000 frames</t>
  </si>
  <si>
    <t>Airbag and air pump</t>
  </si>
  <si>
    <t>Sensor array</t>
  </si>
  <si>
    <t>Good sitting posture
Humpback
Reclining
Shallow sitting
Cross-leg (left)
Cross-leg (right)
Inclining to the left
Inclining to the right</t>
  </si>
  <si>
    <t>Arduino Mega2560</t>
  </si>
  <si>
    <t>Multi-Layer Perceptron Classifier</t>
  </si>
  <si>
    <t>sensor data</t>
  </si>
  <si>
    <t>&gt;90%</t>
  </si>
  <si>
    <t>sensor array 
32x32</t>
  </si>
  <si>
    <t>Sitting upright
Leaning back
Leaning left
Leaning right</t>
  </si>
  <si>
    <t>Laptop</t>
  </si>
  <si>
    <t>SVM) with polynomial kernel</t>
  </si>
  <si>
    <t>data from 10 people, 800 images</t>
  </si>
  <si>
    <t>32 on the seat
32 on the back</t>
  </si>
  <si>
    <t>sensor array 32+32</t>
  </si>
  <si>
    <t>1. Empty
2. Leaning back
3. Leaning left 
4. Leaning right 5. Leaning front
6. still</t>
  </si>
  <si>
    <t>Not-Specified</t>
  </si>
  <si>
    <t>Random Forest (RF), Gaussian Naïve Bayes, Logistic Regression, Support Vec_x0002_tor Machine and Deep Neural Network</t>
  </si>
  <si>
    <t>9 sensors on back of seat</t>
  </si>
  <si>
    <t>Right
Arm Cross (RAC); (b) Left Arm Cross (LAC); (c) Both Arms Up (BAU); (d); Right Leg Up (RLU);
(e) Left Leg Up (LLU); (f) Hanging Arms Down (HAD).
Forward Head Posture
Leaning Back
No Left Side
No Left Shoulder
No Right Side
No Right Shoulder
Rounded Shoulders
Slouching Forward</t>
  </si>
  <si>
    <t xml:space="preserve"> Decision Trees - Classification and Regression Trees (DT-CART)
Random Forest (RF)
k-Nearest Neighbors (k-NN)
Linear Regression (LR)
Linear Discriminant Analysis (LDA)
Naive Bayes (NB)
Neural Network - Multilayer Perceptron (MLP)</t>
  </si>
  <si>
    <t>biomechanics
posture model and on user body characteristics’ data (BMI)</t>
  </si>
  <si>
    <t>312,587 recordings</t>
  </si>
  <si>
    <t>on the Seat</t>
  </si>
  <si>
    <t xml:space="preserve">44 × 52 pressure sensor array </t>
  </si>
  <si>
    <t>Sitting upright
Leaning forward
Leaning back
Leaning left
Leaning right</t>
  </si>
  <si>
    <t>deep convolutional neural network (CNN)</t>
  </si>
  <si>
    <t>data from 8 people</t>
  </si>
  <si>
    <t>3 on seat, 2 on arms, 1 back</t>
  </si>
  <si>
    <t xml:space="preserve"> (a) sit straight; 
(b) left recline;
(c) right recline; 
(d) lounge;
 (e) lean backward; 
(f) cross left leg; 
(g) cross right leg.</t>
  </si>
  <si>
    <t>Arduino for data collecion, PC for training and FPGA for inference</t>
  </si>
  <si>
    <t xml:space="preserve">SVM 
ANN </t>
  </si>
  <si>
    <t>SVM 88.37%, 
ANN (97.43%)</t>
  </si>
  <si>
    <t>Visual warnign on Mobile phone</t>
  </si>
  <si>
    <t>4 seat , 2 back, acclerometer at back</t>
  </si>
  <si>
    <t>Crossbow Technology</t>
  </si>
  <si>
    <t>Atmega328</t>
  </si>
  <si>
    <t>Pressure data</t>
  </si>
  <si>
    <t>Ntype not mentioned</t>
  </si>
  <si>
    <t>1)normal sitting posture, 
2) slight hunchback and 
3)severe hunchback</t>
  </si>
  <si>
    <t>Arduino Uno</t>
  </si>
  <si>
    <t>BP neural Network</t>
  </si>
  <si>
    <t>(a) upright sitting with backrest (UPwB); 
(b) upright sitting without backrest (UPwoB); 
(c) front sitting with backrest (FRwB); 
(d) front sitting without backrest (FRwoB); 
(e) left sitting (LE); and 
(f) right sitting (RI).</t>
  </si>
  <si>
    <t>PC</t>
  </si>
  <si>
    <t>SVM, DCA, QD, NB, RF, DT</t>
  </si>
  <si>
    <t>A Novel Smart Chair System for Posture Classification and Invisible ECG Monitoring</t>
  </si>
  <si>
    <t xml:space="preserve">Pereira </t>
  </si>
  <si>
    <t>(P1) Upright
sitting; (P2) Slouching; (P3) Leaning forward; (P4) Leaning backward; (P5) Leaning left; (P6) Leaning
right; (P7) Right leg crossed; and (P8) Left leg crossed._x000D_</t>
  </si>
  <si>
    <t>Upper Body Posture Recognition Using Inertial Sensors and Recurrent Neural Networks</t>
  </si>
  <si>
    <t>Tang</t>
  </si>
  <si>
    <t>IMU</t>
  </si>
  <si>
    <t>upright, slump, lean, right and left bending, and right and left twisting</t>
  </si>
  <si>
    <t>Otodel</t>
  </si>
  <si>
    <t>otodel</t>
  </si>
  <si>
    <t>the inertial sensor is attached to the rear upper trunk of the body</t>
  </si>
  <si>
    <t>IMU sensor</t>
  </si>
  <si>
    <t>Left movement
Right movement
Front movement
Back movement
Straight movement</t>
  </si>
  <si>
    <t>Correlation-based feature selection (CFS) technique, particle swarm optimization (PSO) and SVM, KNN, Naive Bayes</t>
  </si>
  <si>
    <t>Collected from sensor data</t>
  </si>
  <si>
    <t>Jounral</t>
  </si>
  <si>
    <t>accelerometer values</t>
  </si>
  <si>
    <t>PC,
Raspberry Pi 4 and Odroid N2+</t>
  </si>
  <si>
    <t>RF, DT, KNN</t>
  </si>
  <si>
    <t>angle array</t>
  </si>
  <si>
    <t>1. Good Posture
2. Slouching Over
3. Slouching Left
4. Slouching Right</t>
  </si>
  <si>
    <t xml:space="preserve">Raspberry Pi 4 </t>
  </si>
  <si>
    <t>KNN, SVM, DT, RF, Naive-Bayes, Boosting, K-means</t>
  </si>
  <si>
    <t>RF=99.19%</t>
  </si>
  <si>
    <t>RF=98.70%</t>
  </si>
  <si>
    <t>Snapshoot of pressure sensor arrays (44x52)</t>
  </si>
  <si>
    <t>straight, leaning forward, leaning backward, hunchback, leaning left, rotation left</t>
  </si>
  <si>
    <t xml:space="preserve"> EVB90640-41</t>
  </si>
  <si>
    <t>Multimodela Deep Learning</t>
  </si>
  <si>
    <t xml:space="preserve">Heterogeneous, Skoda, and PAMAP2. </t>
  </si>
  <si>
    <t>F1=93.08%</t>
  </si>
  <si>
    <t xml:space="preserve">pressure sensors </t>
  </si>
  <si>
    <t xml:space="preserve">
ICA model and KD-based monitoring</t>
  </si>
  <si>
    <t>Borrowed from other author</t>
  </si>
  <si>
    <t>308 datapoints</t>
  </si>
  <si>
    <t>F1-score around 99.41%</t>
  </si>
  <si>
    <t>Snapshot of Pressure(44 × 52) Infrared(24 × 32)</t>
  </si>
  <si>
    <t>Trunk is straight (TS), leaning forward (TF), leaning
backward (TB), and leaning to the left (TL). Neck is neutral (NN) or non-neutral (NON). Upper extremity: putting hands on the desk (UD), hands on the legs (UL),
holding the chin using one hand (UC), and holding the forehead using one hand (UF). The lower extremity: the legs are crossed (LC) or supported by the ground (LG)</t>
  </si>
  <si>
    <t>EVB90649-4 for IR</t>
  </si>
  <si>
    <t>DCNN and TSPN</t>
  </si>
  <si>
    <t>6300 frames</t>
  </si>
  <si>
    <t>Front of humman sittigng on chair</t>
  </si>
  <si>
    <t>x, y, and z coordinate</t>
  </si>
  <si>
    <t>1. Front Left
2. Front Right
3. Front Center
4. Straight Left
5. Straight Right 
6. Straight Center
7. Back Left
8. Back Right
9. Back Center</t>
  </si>
  <si>
    <t>2D CNN</t>
  </si>
  <si>
    <t>close to user</t>
  </si>
  <si>
    <t>RFID signals</t>
  </si>
  <si>
    <t>1. Sitting straight
2. Back bend forward
3.  Sitting backward
4. Waist straight forward with the waist and thigh at an angle of 30°
5. Waist straight forward with the waist and thigh at an angle of 45°</t>
  </si>
  <si>
    <t>Computer</t>
  </si>
  <si>
    <t>PCA and Neural network
back propagation (BP) neural network</t>
  </si>
  <si>
    <t>Placed on body</t>
  </si>
  <si>
    <t>lkex sensors data</t>
  </si>
  <si>
    <t xml:space="preserve"> 3 proper and 3 improper</t>
  </si>
  <si>
    <t>Decision Tree</t>
  </si>
  <si>
    <t>data from 10 flex sensors</t>
  </si>
  <si>
    <t>SVM, LDA, quadratic discriminant
analysis (QDA), NB, and random forest</t>
  </si>
  <si>
    <t>97.20% with SVM</t>
  </si>
  <si>
    <t>4X4</t>
  </si>
  <si>
    <t>A</t>
  </si>
  <si>
    <t>4x4</t>
  </si>
  <si>
    <t>B</t>
  </si>
  <si>
    <t>11X13</t>
  </si>
  <si>
    <t>C</t>
  </si>
  <si>
    <t>44X52</t>
  </si>
  <si>
    <t>D</t>
  </si>
  <si>
    <t>44x52</t>
  </si>
  <si>
    <t>32+32</t>
  </si>
  <si>
    <t>Future work</t>
  </si>
  <si>
    <t>Key words</t>
  </si>
  <si>
    <t>Comments</t>
  </si>
  <si>
    <t>Findings</t>
  </si>
  <si>
    <t>Challenges</t>
  </si>
  <si>
    <t>sitting posture monitoring, pressure sensor, subject-independent, subject-dependent, cross-subject</t>
  </si>
  <si>
    <t xml:space="preserve">artificial intelligence, sitting posture correction, 
neural network, sensor </t>
  </si>
  <si>
    <t>Design of Intelligent Sitting Posture Monitoring System: The study innovatively designed an intelligent sitting posture monitoring robot control system that focuses on monitoring sitting posture, sitting time, and lighting environment. The system collects hip pressure distribution data using a flexible force-sensitive sensor and utilizes multi-sensors for data collection and sitting posture recognition through a neural network</t>
  </si>
  <si>
    <t>Enhanced Sensor Technology: Research and development of advanced sensor technologies to improve the accuracy and efficiency of sitting posture data collection, such as the integration of additional sensors for capturing more detailed posture information.
Machine Learning Algorithms: Exploration of more sophisticated machine learning algorithms and neural network architectures to further enhance sitting posture recognition capabilities and correction precision.
Personalized Correction Solutions: Development of personalized correction solutions tailored to individual users based on their specific sitting habits, body characteristics, and ergonomic needs.
Real-time Feedback Mechanisms: Implementation of real-time feedback mechanisms, such as visual or haptic cues, to provide users with immediate guidance on correcting their sitting posture for long-term habit improvement.
Long-term Health Monitoring: Integration of health monitoring features into the correction seat system to track and analyze the impact of improved sitting posture on users' musculoskeletal health over time.
User Experience Optimization: Focus on enhancing the user experience of the correction seat system through ergonomic design, intuitive interfaces, and customizable settings to promote user engagement and adherence.
Clinical Validation Studies: Conducting clinical validation studies to assess the effectiveness of the correction seat system in preventing and reducing musculoskeletal disorders associated with prolonged sitting.</t>
  </si>
  <si>
    <t>Development of an intelligent correction seat system aimed at improving sitting posture and reducing the incidence of lumbar diseases caused by prolonged sitting and improper posture at work.
Utilization of pressure sensors and ultrasonic sensors to collect sitting posture data from users.</t>
  </si>
  <si>
    <t>Complex Data Collection: Gathering and processing data from pressure sensors and ultrasonic sensors to accurately capture sitting posture information can be challenging due to the complexity of the data involved.
Model Accuracy: Ensuring the accuracy of the sitting posture model established through neural network technology is crucial for effective posture recognition and correction. Challenges may arise in fine-tuning the model to account for variations in individual sitting habits.
User Variability: Addressing the diverse range of user heights, weights, and sitting preferences poses a challenge in creating a universal correction solution that caters to the needs of different individuals.
Integration of Sensors: Integrating multiple sensors and ensuring their seamless operation within the correction seat system can be technically challenging and may require robust hardware and software integration.
User Acceptance: Encouraging user adoption and acceptance of the correcion seat system may be a challenge, especially if users are resistant to changes in their sitting habits or discomfort caused by the correction mechanisms.
Cost Considerations: Balancing the cost of implementing the intelligent correction seat system with its effectiveness and benefits can be a challenge, especially in ensuring affordability for widespread adoption.</t>
  </si>
  <si>
    <t xml:space="preserve">Smart Seat With Real-Time Asymmetrical Sitting 
Alert </t>
  </si>
  <si>
    <t>The system utilizes sensors placed on a chair seat to detect pressure distribution and asymmetry in sitting positions. Alerts are generated in real-time to notify users of prolonged asymmetrical sitting conditions, aiming to reduce the risk of low-back pain associated with incorrect posture</t>
  </si>
  <si>
    <t>You Work We Care: Sitting Posture Assessment
Based on Point Cloud Dat</t>
  </si>
  <si>
    <t>his future work may involve testing the system in different working environments or situations to assess its adaptability and robustness. Additionally, further research could focus on enhancing the system's capabilities, such as improving posture classification accuracy, expanding the range of recognized postures, or exploring additional applications of the point cloud-based posture recognition technology. The researchers may also explore potential enhancements to the deep neural network used for posture recognition to optimize its efficiency and effectiveness in tracking and monitoring human poses</t>
  </si>
  <si>
    <t xml:space="preserve">point cloud-based recognition, LiDAR, posture
recognition
</t>
  </si>
  <si>
    <t>The proposed system utilizes a small portable human sensing device equipped with a micro-sized LiDAR sensor. This LiDAR sensor, which is smaller and lighter than consumer-grade LiDAR devices, consists of an infrared laser and a CMOS image sensor to acquire a 3D point cloud in real-time. The sensor captures each 3D point in the point cloud with x, y, and z coordinate information. This point cloud data is then processed by a computing unit, which includes a battery and a Raspberry Pi 4 Model B, to run the posture recognition algorithms . The LiDAR device scans the human's sitting posture and represents it in a privacy-keeping point cloud form, ensuring that no identifiable information is captured .</t>
  </si>
  <si>
    <t>Cost: LiDAR devices can be expensive, which may impact the feasibility of widespread adoption in various environments.
Portability: Traditional LiDAR devices are often bulky and not easily portable, which can limit their use in dynamic or mobile settings.
Data Processing: Handling and processing large amounts of point cloud data generated by LiDAR devices can be computationally intensive and require efficient algorithms for analysis.
Environmental Interference: LiDAR performance may be affected by environmental factors such as lighting conditions, reflective surfaces, and obstacles in the surroundings.
Privacy Concerns: Ensuring that LiDAR data collection and processing methods do not compromise user privacy or security, especially in sensitive environments.
Calibration and Alignment: Proper calibration and alignment of LiDAR sensors are crucial for accurate data capture and interpretation, which may require technical expertise.</t>
  </si>
  <si>
    <t>Energy Harvesting Optimization: Further optimize the energy harvesting capabilities of the textiles to ensure sustainable and continuous power supply for the sensors and data processing components.
Integration with Smart Furniture: Investigate the integration of the sensing textiles with smart furniture or seating solutions to create an interconnected system that promotes healthy sitting habits and provides holistic posture monitoring.</t>
  </si>
  <si>
    <t>posture monitoring, knitted fabric, triboelectric nanogenerator, wearable electronics, machine learnin</t>
  </si>
  <si>
    <t xml:space="preserve"> self-powered sitting
position  monitoring  vest  (SPMV)  based  on  triboelectric  nanogenerators  (TENGs)  to  achieve  accurate  real-time  posture
recognition  through  an  integrated  machine  learning  algorithm.  The  SPMV  achieves  high  sensitivity  (0.16  mV/Pa),  favorable
stretchability  (10%),  good  stability  (12,000  cycles),  and  machine  washability  (10  h)  by  employing  knitted  double  threads
interlaced with conductive fiber and nylon yarn.</t>
  </si>
  <si>
    <t>User Comfort and Wearability: Balancing the need for accurate sensing capabilities with user comfort and wearability to ensure that the textiles are comfortable to wear for extended periods.
Energy Harvesting Efficiency: Maximizing the efficiency of energy harvesting mechanisms integrated into the textiles to ensure sustainable power supply for the sensors and data processing components.</t>
  </si>
  <si>
    <t xml:space="preserve"> website for view their daily sitting information.
Web Interface: Develop a website where users can log in to view their daily sitting information, catering to individuals who do not own smartphones but still want to utilize the application.
Long-Term Data Analysis: Explore ways to analyze and interpret long-term data collected from the smart chair system to identify trends, patterns, and insights into users' sitting behaviors and posture habits.
User Engagement: Implement features to enhance user engagement and motivation, such as gamification elements, progress tracking, and rewards for maintaining good posture habits.
Integration with Healthcare Professionals: Explore opportunities to integrate the smart chair solution with healthcare professionals or ergonomic experts to provide personalized recommendations and interventions for users with specific posture-related issues.</t>
  </si>
  <si>
    <t>Cloud computing, Servers, Machine learning algorithms, Pressure sensors,
Sensor arrays</t>
  </si>
  <si>
    <t xml:space="preserve">The smart chair solution presented in the document offers a comprehensive approach to improving sitting posture for desk-based office workers. By utilizing Internet of Things techniques and sensor technology, the system can effectively monitor and analyze sitting postures in real-time. </t>
  </si>
  <si>
    <t>The study introduces an intelligent system that utilizes Force-Sensitive Resistor (FSR) sensors and machine learning algorithms to detect wheelchair users' sitting postures. Two sensor configurations, a 3x3 matrix, and a cross-configuration, are embedded on a wheelchair seat to collect pressure data in real-time.
Machine Learning Algorithms: Five machine learning algorithms (K-NN, LR, DT, SVM, LightGBM) are employed to classify five sitting positions: ideal, backward-leaning, forward-leaning, right-leaning, and left-leaning. The study compares the performance of these algorithms in terms of accuracy, precision, and execution time.</t>
  </si>
  <si>
    <t>Sensor Placement and Calibration: Ensuring accurate placement and calibration of the FSR sensors on the wheelchair seat to capture precise pressure data from users in real-time. Variability in sensor sensitivity or positioning could impact the reliability of the collected data and subsequent posture classification.
Dataset Collection and Diversity: Acquiring a diverse and representative dataset that includes samples from individuals with varying body types, postures, and mobility levels. Challenges may arise in recruiting a sufficient number of participants and ensuring the dataset's inclusivity to train the machine learning algorithms effectively.</t>
  </si>
  <si>
    <t>enhancing the pressure data collection stage to improve overall classification accuracy</t>
  </si>
  <si>
    <t>pressure sensor; pressure mapping; sitting posture recognition; wheelchair seat cushion;
machine learning algorithms</t>
  </si>
  <si>
    <t>The findings of the study on the Sitting Posture Monitoring System include the successful compilation of a dataset consisting of 32 individuals holding four different postures for up to 30 seconds each . The study employed machine learning algorithms to classify and recognize these postures based on the sensor data collected from the ATmega-2560 microcontroller. The classification algorithms used in the study achieved satisfactory accuracy in identifying the different sitting postures .</t>
  </si>
  <si>
    <t>algorithm optimization for real-time processing</t>
  </si>
  <si>
    <t>piezoresistive</t>
  </si>
  <si>
    <t>The study acknowledged the need for future research to investigate the potential therapeutic benefits of using the Smart-Cover system for posture monitoring. Understanding how the system can contribute to improving musculoskeletal health and preventing related conditions requires additional investigation</t>
  </si>
  <si>
    <t>Wearable sensorsProlonged sittingSitting diseasePosture monitoringPressure sensorsSitting asymmetryInternet of thingsFuzzy classifiera</t>
  </si>
  <si>
    <t>Finds level of asymmetry, active and static sitting, and daily summary score</t>
  </si>
  <si>
    <t>The study designed and developed new hardware components, including a novel pressure sensing architecture embedded in the seat covering. This hardware aimed to study human sitting biomechanics, reduce sensor noise through filtering, transfer data to a cloud server using IoT, and incorporate wireless charging capabilities</t>
  </si>
  <si>
    <t>small sample size, few posture</t>
  </si>
  <si>
    <t>pressure sensors and ultrasonic</t>
  </si>
  <si>
    <t>Future work could focus on expanding the dataset with a larger and more diverse set of samples to improve the algorithm's generalization and accuracy.</t>
  </si>
  <si>
    <t>sitting posture recognition; flexible pressure array; self-organizing map; unsupervised
self-learning algorithm</t>
  </si>
  <si>
    <t>focuses on the design and implementation of a sitting posture recognition system using a flexible array pressure sensor and the Self-Organizing Map (SOM) algorithm for real-time and accurate posture recognition</t>
  </si>
  <si>
    <t xml:space="preserve">Limited Sample Size: </t>
  </si>
  <si>
    <t>In future work, we will explore different
tag deployment strategies which may relax the
requirement. Also, we will try to make the device
smaller, allowing more people to try and accept the sitting
posture recognition using our system.</t>
  </si>
  <si>
    <t>Sitting posture recognition, radio frequency identification, back propagation net, principal component analysis, device_x0002_free</t>
  </si>
  <si>
    <t xml:space="preserve"> </t>
  </si>
  <si>
    <t>The limited range of postures may restrict the system's ability to accurately classify more diverse or unconventional sitting positions. Expanding the posture recognition capabilities could enhance the system's versatility
The accuracy of the system may be susceptible to environmental factors, such as noise and interference that can affect the RFID signal quality.</t>
  </si>
  <si>
    <t>final working device,
fully enclosed, wireless, battery operated, and independent</t>
  </si>
  <si>
    <t>Machine Learning; IoT device; posture detection; pain prevention; artificial neural networks</t>
  </si>
  <si>
    <t xml:space="preserve"> IoT posture monitoring system, equipped with Force Sensitive Resistors (FSRs) and an Artificial Neural Network model, achieved a mean accuracy of 81% in classifying seven different sitting postures.</t>
  </si>
  <si>
    <t>Small Dataset Size: The study involved data collection from only 12 participants for each of the seven sitting postures considered. 
nadequate Sensor Placement: The system utilized six force sensors on the chair seat to detect sitting postures.</t>
  </si>
  <si>
    <t>A portable sitting posture monitoring system based on a pressure
sensor array and machine learning</t>
  </si>
  <si>
    <t>Wearable sensors, more compact design</t>
  </si>
  <si>
    <t>Sitting posture
Sensor array
Machine learning
Vibration feedback</t>
  </si>
  <si>
    <t>Key findings of the study include achieving a classification accuracy of 96.26% with a prediction time of 19 microseconds, highlighting the importance of real-time data processing on the Raspberry Pi and providing feedback to the user through motor vibration to encourage correct sitting posture. The system's design emphasized portability, real-time feedback, and user-friendly data visualization for effective posture monitoring and improvement.</t>
  </si>
  <si>
    <t>Proposal of integrating active posture correction into a smart chair.
Revelation of the relationship between system performance and usability.
Summary of practical experience of Lean UX in research and development</t>
  </si>
  <si>
    <t>Real-time monitoring ·Active correction ·Smart chair ·Healthy sitting posture ·Lean UX</t>
  </si>
  <si>
    <t>Hip Positioning and Sitting Posture Recognition Based on
Human Sitting Pressure Image</t>
  </si>
  <si>
    <t>extract more features of specific parts of the human body</t>
  </si>
  <si>
    <t>sitting pressure image acquisition system; hip positioning algorithm; support vector
machine; sitting posture classification</t>
  </si>
  <si>
    <t xml:space="preserve">Design of a Sitting Pressure Image Acquisition System: The research introduces a system that efficiently collects human sitting pressure images, providing a valuable tool for analyzing sitting postures and hip positioning.
Development of an Innovative Hip Positioning Algorithm: The study proposes a novel algorithm based on hip templates that effectively locates the hip position using pressure images. The algorithm demonstrates good performance in accurately positioning the hip with minimal deviation, even for different sitting angles.
Feature Extraction and Classification: By utilizing the hip positioning algorithm, the study effectively extracts pressure values from specific regions like the left hip, right hip, and caudal vertebrae as features for classification. </t>
  </si>
  <si>
    <t>sample size</t>
  </si>
  <si>
    <t>collecting real world dataset, employing in_x0002_creased number of participants, and sitting posture</t>
  </si>
  <si>
    <t>Sitting posture, Smart chair, Pressure sensor, Deep Neural Net_x0002_works, Prediction</t>
  </si>
  <si>
    <t>real-world scenarios such
as driving, healthcare, and entertainment for improving human well-being</t>
  </si>
  <si>
    <t>posture recognition; applied machine learning; IoT; pressure sensing; human well-being</t>
  </si>
  <si>
    <t>The research introduces a machine-learning-based approach for sitting posture and stretch pose recognition using a pressure-sensing IoT cushion. This approach enables accurate recognition of various sitting postures and seated stretch poses, providing personalized well-being guidance based on individual posture data</t>
  </si>
  <si>
    <t>Posture Descriptors: While the research implemented a posture model with threshold-based posture templates to address important posture aspects, such as rounded shoulders and forward head posture, there may still be limitations in capturing all nuances of sitting posture, such as shoulder positions, vertical symmetry, and horizontal symmetry</t>
  </si>
  <si>
    <t>deeper investigation on the acceptable workplace design relative to 
the user’s body frame</t>
  </si>
  <si>
    <t>Ergonomics; Flex Sensors; Digital Signal Processing; Machine 
Learning; Proper and Improper Sitting Posture; User- Modeling; 
Ubiquitous and Pervasive Computing; Human- Computer Interaction</t>
  </si>
  <si>
    <t xml:space="preserve">model that will
recognize proper and improper sitting posture in front of a laptop
using Digital Signal Processing and User- Modeling. This study used
flex sensors placed in the upper areas of the body. </t>
  </si>
  <si>
    <t>the recognition of sitting 
posture can be combined with the detection of spine curvature,</t>
  </si>
  <si>
    <t>Sitting posture 
Hip pressure 
2D pressure sensor array 
Convolution neural network</t>
  </si>
  <si>
    <t xml:space="preserve"> method based on the analysis of the pressure on the hip interface to identify the sitting postures. An array pressure sensor placed on the cushion collects the tester's hip pressure and obtains a pressure heat map. </t>
  </si>
  <si>
    <t>A Smart Chair Sitting Posture Recognition System
Using Flex Sensors and FPGA Implemented
Artificial Neural Network</t>
  </si>
  <si>
    <t>Arduino+PC</t>
  </si>
  <si>
    <t>The algorithms with complicatedarchitecture likeConvolutionalNeuralNetwork (CNN)will beconsideredas apotential choice tomeet the challenges.Besides, thesystemwillbeoptimizedwithrespect tothereal-timeprocessing, theuserusabilityandacceptability aswellasmobilityandcomfortability.</t>
  </si>
  <si>
    <t>Smart Chair, 
Sitting Posture Recognition, 
Flex Sensors, 
Artificial Neural Network, 
Real-time Machine Learning.</t>
  </si>
  <si>
    <t>Using only smart phone</t>
  </si>
  <si>
    <t>accelerometer; classifiers; CFS; an inertial sensor; gyroscope; human sitting behaviors;
magnetometer; PSO; smartphone</t>
  </si>
  <si>
    <t>he research introduces an innovative framework that leverages smartphone sensors to monitor and analyze human sitting behaviors continuously, providing insights into correct and incorrect postures.
Dataset Generation: The study self-generates a sitting behaviors dataset, enabling the development and testing of machine learning algorithms for behavior recognition.</t>
  </si>
  <si>
    <t>Sensor Placement: The accuracy of behavior recognition may be influenced by the placement of the inertial sensor on the rear upper trunk, as different placements could yield varying results.</t>
  </si>
  <si>
    <t>extend the dataset, add alert system</t>
  </si>
  <si>
    <t>Posture Monitoring; Machine Learning; Inertial Sensors</t>
  </si>
  <si>
    <t>The study successfully demonstrated the application of machine learning algorithms for accurately recognizing and classifying various sitting postures, such as sitting upright, leaning forward, leaning backward, leaning left, leaning right, and crossing legs. The study implemented a smart belt equipped with inertial sensors for data collection of sitting posture, addressing the portability limitation of existing solutions . By placing two inertial sensors on the belt, one in the middle of the back and the other on the top right shoulder, the system aimed to provide more precise and accurate posture monitoring</t>
  </si>
  <si>
    <t>Sensor Integration: Integrating multiple sensors, such as the pressure array sensor and the infrared array sensor, into a cohesive system can be challenging. Ensuring that the sensors work together seamlessly to capture relevant data for sitting posture recognition without interference or data loss may have been a challenge .
Data Fusion: Combining data from different modalities, such as pressure and infrared sensors, to accurately recognize sitting postures requires sophisticated data fusion techniques. Challenges may have arisen in developing and optimizing algorithms for fusing multimodal data effectively .
Privacy Concerns: Ensuring the privacy of individuals while collecting data on sitting postures in a workplace setting is crucial. Addressing privacy concerns and implementing measures to protect sensitive data from unauthorized access or misuse may have posed challenges .
Accuracy and Generalization: Achieving high accuracy in recognizing a wide range of sitting postures across different individuals and scenarios can be challenging. Ensuring that the system can generalize well to various body types, postures, and environmental conditions may have been a challenge .
User Acceptance: Encouraging user acceptance and compliance with the system for long-term monitoring of sitting postures in a workplace setting can be challenging. Ensuring that the system is user-friendly, non-intrusive, and provides meaningful feedback to users may have been a consideration .
Hardware and Software Optimization: Optimizing the hardware prototype and deep learning model for efficient data collection, processing, and recognition of sitting postures may have presented technical challenges. Balancing performance, power consumption, and cost-effectiveness of the system could have been areas of focus</t>
  </si>
  <si>
    <t>Sitting posture recognition; Multimodal data; Self-attention; Deep learning; Ergonomics</t>
  </si>
  <si>
    <t>Exclude - no detection mechanism provided</t>
  </si>
  <si>
    <t>Future work will inves_x0002_tigate including more data inputs, such as heart rate and blood pressure provided by a smartwatch or a smartphone, for fur_x0002_ther improving the efficiency of sitting posture recognition</t>
  </si>
  <si>
    <t>Pressure sensors , Support vector machines , Wearable Health Monitoring Systems , Wheelchairs , Detectors , Data models , Biomedical monitoring , Unsupervised learning</t>
  </si>
  <si>
    <t>The study suggests future research directions, including optimizing sensor layout to improve resolution, exploring the system's capability to recognize additional sitting postures related to health risks, and testing the system on individuals with various physical characteristics</t>
  </si>
  <si>
    <t>Sitting posture recognition 
Pressure array sensor 
Infrared array sensor 
Ergonomics 
Deep learning</t>
  </si>
  <si>
    <t>The system incorporates a pressure array sensor and an infrared array sensor deployed in a cubicle to collect sitting posture data unobtrusively while preserving user privacy. The pressure array sensor consists of 2288 pressure sensing elements arranged in a matrix, while the infrared array sensor has 24 x 32 infrared detectors , .
Sitting Posture Recognition: Ten sitting posture categories were predefined based on ergonomics studies, each involving different states of the four body parts. The system utilizes a deep learning-based approach to fuse multimodal data from the sensors for accurate recognition of sitting postures</t>
  </si>
  <si>
    <t>"Sensor Integration: Integrating multiple sensors, such as the pressure array sensor and the infrared array sensor, into a cohesive system can be challenging. Ensuring that the sensors work together seamlessly to capture relevant data for sitting posture recognition without interference or data loss may have been a challenge .
Data Fusion: Combining data from different modalities, such as pressure and infrared sensors, to accurately recognize sitting postures requires sophisticated data fusion techniques. Challenges may have arisen in developing and optimizing algorithms for fusing multimodal data effectively .
Privacy Concerns: Ensuring the privacy of individuals while collecting data on sitting postures in a workplace setting is crucial. Addressing privacy concerns and implementing measures to protect sensitive data from unauthorized access or misuse may have posed challenges .
Accuracy and Generalization: Achieving high accuracy in recognizing a wide range of sitting postures across different individuals and scenarios can be challenging. Ensuring that the system can generalize well to various body types, postures, and environmental conditions may have been a challenge .
User Acceptance: Encouraging user acceptance and compliance with the system for long-term monitoring of sitting postures in a workplace setting can be challenging. Ensuring that the system is user-friendly, non-intrusive, and provides meaningful feedback to users may have been a consideration .
Hardware and Software Optimization: Optimizing the hardware prototype and deep learning model for efficient data collection, processing, and recognition of sitting postures may have presented technical challenges. Balancing performance, power consumption, and cost-effectiveness of the system could have been areas of focus"</t>
  </si>
  <si>
    <t>User-centred initialization</t>
  </si>
  <si>
    <t>16 screen printed pressure sensor units</t>
  </si>
  <si>
    <t>snesor array 
32x32</t>
  </si>
  <si>
    <t>SVD</t>
  </si>
  <si>
    <t>Intelligent Active Correction Seat Based on Neural 
Network Sitting Posture Recognition</t>
  </si>
  <si>
    <t>PCA and Neural network</t>
  </si>
  <si>
    <t>Correlation-based feature selection (CFS) technique, particle swarm optimization (PSO) and SVM</t>
  </si>
  <si>
    <t>Posture Prediction for Healthy Sitting using a Smart 
Chair</t>
  </si>
  <si>
    <t>32x32 pressure sensors</t>
  </si>
  <si>
    <t>sensor array</t>
  </si>
  <si>
    <t>4875 data from 50 people</t>
  </si>
  <si>
    <t>pressure sensor arrays and infrared</t>
  </si>
  <si>
    <t>wearable sensor</t>
  </si>
  <si>
    <t>sensors</t>
  </si>
  <si>
    <t>Big number of data</t>
  </si>
  <si>
    <t>Real- Time Human Sitting Position Recognition 
using Wireless Sensors</t>
  </si>
  <si>
    <t>wireless sensor</t>
  </si>
  <si>
    <t>data from 60 people</t>
  </si>
  <si>
    <t>6 Flex sensor, 3 on seat, 2 on arms, 1 back</t>
  </si>
  <si>
    <t xml:space="preserve"> (a) sit straight; (b) left recline;
(c) right recline; (d) lounge; (e) lean backward; (f) cross left
leg; (g) cross right leg.</t>
  </si>
  <si>
    <t>), 9</t>
  </si>
  <si>
    <t>snesor snaphot (32x32)</t>
  </si>
  <si>
    <t>Sensors and Arduino Mega2560</t>
  </si>
  <si>
    <t>Questionare</t>
  </si>
  <si>
    <t xml:space="preserve">pressure sensor array  module + pressure sensor array  </t>
  </si>
  <si>
    <t>Snapsho: Pressure(44 × 52) Infrared(24 × 32)</t>
  </si>
  <si>
    <t>7 sensor voltages</t>
  </si>
  <si>
    <t xml:space="preserve"> website for view their daily sitting information.</t>
  </si>
  <si>
    <t>Intelligent Posture Training: Machine-Learning-Powered
Human Sitting Posture Recognition Based on a
Pressure-Sensing IoT Cushion</t>
  </si>
  <si>
    <t xml:space="preserve"> smart posture data-driven stretch recommendation system</t>
  </si>
  <si>
    <t>Reports</t>
  </si>
  <si>
    <t>Energy Consumption</t>
  </si>
  <si>
    <t>Unobtrusive Smart Mat System for Sleep Posture Recognition</t>
  </si>
  <si>
    <t>Haikang Diao,</t>
  </si>
  <si>
    <t>ISCAS</t>
  </si>
  <si>
    <t>Five-layer structure miniature mat</t>
  </si>
  <si>
    <t>32x32=1024</t>
  </si>
  <si>
    <t>Printed Electrode technology</t>
  </si>
  <si>
    <t>Embedded within the mat (placed between the neck and hips for sleep posture recognition)</t>
  </si>
  <si>
    <t>Pressure sensing</t>
  </si>
  <si>
    <t>-</t>
  </si>
  <si>
    <t>Supine, Prone, Left, Right</t>
  </si>
  <si>
    <t>STM32 microcontroller</t>
  </si>
  <si>
    <t>SVM, KNN</t>
  </si>
  <si>
    <t>224 raw images</t>
  </si>
  <si>
    <t>SVM (64.94 -100%)
KNN(65.71-100%)</t>
  </si>
  <si>
    <t>78% for subject independent
95%+ for subject depdendent</t>
  </si>
  <si>
    <t>SVM(57.14-100%)
KNN(66.07%-100%)</t>
  </si>
  <si>
    <t>Difficult to distinguish between supine and side-lying postures due to similarities in pressure distribution</t>
  </si>
  <si>
    <t>Integration of additional information like breathing and body movements for a more comprehensive evaluation of sleep quality</t>
  </si>
  <si>
    <t>Sleep Mat-e: Electronic Sleep Mat for Posture Monitoring</t>
  </si>
  <si>
    <t>Tang 021</t>
  </si>
  <si>
    <t>Velostat (piezoresistive material)</t>
  </si>
  <si>
    <t>Custom-made using Velostat</t>
  </si>
  <si>
    <t>Pressure-sensing mat</t>
  </si>
  <si>
    <t>19x9=171</t>
  </si>
  <si>
    <t>Mat Size</t>
  </si>
  <si>
    <t>1m x 2m</t>
  </si>
  <si>
    <t>Distributed evenly across the mat, placed under the bedsheet</t>
  </si>
  <si>
    <t>Yes, data transmitted to the cloud via WiFi</t>
  </si>
  <si>
    <t>ATmega32U4 Microcontroller</t>
  </si>
  <si>
    <t>171 sensor values for each image</t>
  </si>
  <si>
    <t>Overall accuracy of 90.4%, with category-wise accuracy varying from 80% to 100%</t>
  </si>
  <si>
    <t xml:space="preserve">	Increase resolution, detect light and deep sleep stages, and implement security and scalability features</t>
  </si>
  <si>
    <t>Pressure distribution from bodyy</t>
  </si>
  <si>
    <t xml:space="preserve">	Fall alerts, bed unoccupied alerts, bedsore alerts</t>
  </si>
  <si>
    <t>Android application shows sleep posture, statistical data, and warnings</t>
  </si>
  <si>
    <t>Face Up, Face Down, Right Lateral, Left Lateral, Unoccupied, Closer to Edge</t>
  </si>
  <si>
    <t>CNN with Transfer Learning (Inception-V3)</t>
  </si>
  <si>
    <t>Average consumption of 90.8 mA, powered by a 9V AAA battery, lasting ~8 hours without optimization, or up to ~80 hours with it</t>
  </si>
  <si>
    <t>Custom 200 images per posture, 1200 images total</t>
  </si>
  <si>
    <t xml:space="preserve">	Similarity between certain postures (e.g., Left Lateral and Right Lateral) causing classification errors</t>
  </si>
  <si>
    <t>Internet of Things in Sleep Monitoring: An Application for Posture Recognition Using Supervised Learning</t>
  </si>
  <si>
    <t>Matar 2016</t>
  </si>
  <si>
    <t>(Healthcom)</t>
  </si>
  <si>
    <t>Tactilus Mattress System</t>
  </si>
  <si>
    <t>Pressure-sensing mattress</t>
  </si>
  <si>
    <t>Body Pressure Mapping Sensors</t>
  </si>
  <si>
    <t>Distributed within the mattress</t>
  </si>
  <si>
    <t>Pressure distribution data from the body</t>
  </si>
  <si>
    <t>Yes, via Bluetooth communication for wireless data transmission</t>
  </si>
  <si>
    <t>Data is sent to a workstation for analysis and can be used for sleep posture monitoring and medical reports</t>
  </si>
  <si>
    <t>Supine/Prone (combined as one), Left Lateral, Right Lateral</t>
  </si>
  <si>
    <t>SVM</t>
  </si>
  <si>
    <t>312 images</t>
  </si>
  <si>
    <t>14x32 pixel binary imag</t>
  </si>
  <si>
    <t xml:space="preserve">	97.22% for supine/prone, 93.2% for left lateral, 94.59% for right lateral and 94.14 overall</t>
  </si>
  <si>
    <t>94.5% for supine/prone, 93.2% for left lateral, 94.5% for right lateral</t>
  </si>
  <si>
    <t xml:space="preserve">	Difficult to distinguish between similar postures (e.g., supine/prone and lateral positions), limited data resolution</t>
  </si>
  <si>
    <t>Explore the use of respiratory-induced pattern recognition to further distinguish between prone and supine positions, optimize IoT framework</t>
  </si>
  <si>
    <t>Intelligent Medical Velostat Pressure Sensor Mat Based on Artificial Neural Network and Arduino Embedded System</t>
  </si>
  <si>
    <t>Velostat (Polymeric material impregnated with carbon black)</t>
  </si>
  <si>
    <t>Custom-designed Velostat mat</t>
  </si>
  <si>
    <t>Pressure-sensitive mat</t>
  </si>
  <si>
    <t>Multiple cells in a matrix arrangement (14x14 or 8x8 matrix variations used in experiments)</t>
  </si>
  <si>
    <t>Piezoresistive sensor</t>
  </si>
  <si>
    <t>Integrated within a mat</t>
  </si>
  <si>
    <t>Pressure force distribution from human body</t>
  </si>
  <si>
    <t>Yes, data transmitted to LabVIEW via Arduino</t>
  </si>
  <si>
    <t>Data sent to a workstation for real-time monitoring and analysis via LabVIEW</t>
  </si>
  <si>
    <t>Not specified in terms of postures, but pressure distribution is measured in sitting/lying situations</t>
  </si>
  <si>
    <t>Focus on pressure rather than specific postures</t>
  </si>
  <si>
    <t>Arduino microcontroller (ATmega-based)</t>
  </si>
  <si>
    <t>Artificial Neural Network (ANN) for pressure-force relationship prediction</t>
  </si>
  <si>
    <t>Crosstalk in sensor matrix and noise in data collection due to interference</t>
  </si>
  <si>
    <t>Real-size mat implementation and improving efficiency of data acquisition and processing technologies</t>
  </si>
  <si>
    <t>Kciuk</t>
  </si>
  <si>
    <t>N</t>
  </si>
  <si>
    <t>Sleep position classification with a compact pressure textile sensor mattress using convolutional neural networks</t>
  </si>
  <si>
    <t>Breuss</t>
  </si>
  <si>
    <t>Pressure textile sensor</t>
  </si>
  <si>
    <t>Mattress</t>
  </si>
  <si>
    <t>392=14x28</t>
  </si>
  <si>
    <t>40 cm x 80 cm</t>
  </si>
  <si>
    <t>Resistive pressure sensing</t>
  </si>
  <si>
    <t>Under the chest and shoulders</t>
  </si>
  <si>
    <t>NO</t>
  </si>
  <si>
    <t>Supine, Lateral left, Lateral right, Prone</t>
  </si>
  <si>
    <t>NS</t>
  </si>
  <si>
    <t>1248 Position samples</t>
  </si>
  <si>
    <t>608 images</t>
  </si>
  <si>
    <t>Supine: 85.0%, Lateral Left: 80.1%, Lateral Right: 86.5%, Prone: 76.2%</t>
  </si>
  <si>
    <t>82.7% (Generalized), 95% (Personalized Male), 92% (Personalized Female)</t>
  </si>
  <si>
    <t xml:space="preserve"> 0.819 (Generalized), 0.950 (Personalized Male), 0.914 (Personalized Female)</t>
  </si>
  <si>
    <t>Difficulty distinguishing between lateral positions, small sensor area limits classification for limb positions</t>
  </si>
  <si>
    <t>Explore larger sensor areas, incorporate body movement tracking, collect more data for bed occupancy detection</t>
  </si>
  <si>
    <t xml:space="preserve">Velostat 
(Flexible material) </t>
  </si>
  <si>
    <t>Smart Pressure e-Mat for Human Sleeping Posture and Dynamic Activity Recognition</t>
  </si>
  <si>
    <t>Yuan 2023</t>
  </si>
  <si>
    <t xml:space="preserve">	Piezoresistive Pressure Sensors</t>
  </si>
  <si>
    <t>Velostat (Linqstat)</t>
  </si>
  <si>
    <t>Velostat Sensor Array</t>
  </si>
  <si>
    <t>Smart Pressure e-Mat (SPeM)</t>
  </si>
  <si>
    <t>2.030 m × 1.525 m</t>
  </si>
  <si>
    <t>Piezoresistive Technology</t>
  </si>
  <si>
    <t>Distributed throughout the pressure mat</t>
  </si>
  <si>
    <t>Pressure exerted by human body</t>
  </si>
  <si>
    <t>4 Sleep
5 activity</t>
  </si>
  <si>
    <t>Supine, Prone, Left Lateral, Right Lateral, etc.</t>
  </si>
  <si>
    <t>Arduino Nano (central signal processing unit)</t>
  </si>
  <si>
    <t>Deep Neural Networks (CNN, CRNN, 3D CNN for classification)</t>
  </si>
  <si>
    <t>14,000 image stream samples</t>
  </si>
  <si>
    <t>Sleeping posture: 0.988 (CRNN), Dynamic activity: 1.0 (CRNN)</t>
  </si>
  <si>
    <t>Crosstalk and noise from Velostat's non-ideal electrical properties</t>
  </si>
  <si>
    <t>Fusion with wearable sensors, image resolution improvements, and multi-modal sensing</t>
  </si>
  <si>
    <t>A Smart IoT System for Detecting the Position of a Lying Person Using a Novel Textile Pressure Sensor</t>
  </si>
  <si>
    <t>Hudec 2021</t>
  </si>
  <si>
    <t>Sensors</t>
  </si>
  <si>
    <t>Textile pressure Sensor</t>
  </si>
  <si>
    <t>Velostat and electrically conductive yarn</t>
  </si>
  <si>
    <t>Mattress topper</t>
  </si>
  <si>
    <t>Resistive sensing technology</t>
  </si>
  <si>
    <t>Distributed across the mattress topper</t>
  </si>
  <si>
    <t>Pressure exerted by the person lying on the bed</t>
  </si>
  <si>
    <t xml:space="preserve">	Yes, using MQTT protocol and QIoT suite</t>
  </si>
  <si>
    <t>Data about lying positions are displayed in a desktop application for the staff</t>
  </si>
  <si>
    <t>Supine, Left Lateral, Prone, Right Lateral</t>
  </si>
  <si>
    <t>NodeMCU with ESP8266</t>
  </si>
  <si>
    <t>120x31=3720</t>
  </si>
  <si>
    <t>Variation in pressure distribution due to differences in subject weight</t>
  </si>
  <si>
    <t>Improving the system for diverse body weights, further sensor optimization</t>
  </si>
  <si>
    <t>paper#</t>
  </si>
  <si>
    <t>The fusion of Internet of Intelligent Things (IoIT) in remote diagnosis of obstructive Sleep Apnea: A survey and a new model</t>
  </si>
  <si>
    <t>Abdel-Basset</t>
  </si>
  <si>
    <t>Sleep Posture Detection Using an Accelerometer Placed on the Neck</t>
  </si>
  <si>
    <t>Abdulsadig, Rawan S</t>
  </si>
  <si>
    <t>Sleep Posture Monitoring Using a Single Neck- Situated Accelerometer: A Proof-of-Concept</t>
  </si>
  <si>
    <t>mmSleep</t>
  </si>
  <si>
    <t>Adhikari, Aakriti</t>
  </si>
  <si>
    <t>Argosleep: Monitoring Sleep Posture from Commodity Millimeter-Wave Devices</t>
  </si>
  <si>
    <t>MiSleep: Human Sleep Posture Identification from Deep Learning Augmented Millimeter-wave Wireless Systems</t>
  </si>
  <si>
    <t>Automatic limb identification and sleeping parameters assessment for pressure ulcer prevention</t>
  </si>
  <si>
    <t>Baran Pouyan</t>
  </si>
  <si>
    <t>Sleep Position Detection for Closed-Loop Treatment of Sleep-Related Breathing Disorders</t>
  </si>
  <si>
    <t>Breuss, A</t>
  </si>
  <si>
    <t>Wearable SpO2 and sleep posture monitoring system for Obstructive Sleep Apnea patients</t>
  </si>
  <si>
    <t>Brugarolas</t>
  </si>
  <si>
    <t>Measuring High-Resolution Sleep Position in Adolescents over 4 Nights with Smartphone Accelerometers</t>
  </si>
  <si>
    <t>Castillo-Escario,</t>
  </si>
  <si>
    <t>SleepGuard</t>
  </si>
  <si>
    <t>Chang, Liqiong</t>
  </si>
  <si>
    <t>iSleep</t>
  </si>
  <si>
    <t>Chang, Xiangmao</t>
  </si>
  <si>
    <t>Method of recognizing sleep postures based on air pressure sensor and convolutional neural network: For an air spring mattress</t>
  </si>
  <si>
    <t>Chao, Yao</t>
  </si>
  <si>
    <t>The past, present, and future of sleep quality assessment and monitoring</t>
  </si>
  <si>
    <t>Chen, Yanyan</t>
  </si>
  <si>
    <t>Contactless sleep posture measurements for demand‐controlled sleep thermal comfort: A pilot study</t>
  </si>
  <si>
    <t>Cheng, Xiaogang</t>
  </si>
  <si>
    <t>A Fully Integrated Flexible Electronic System With Highly Sensitive MWCNTs Piezoresistive Array Sensors for Pressure Monitoring</t>
  </si>
  <si>
    <t>Cheng, Jiagen</t>
  </si>
  <si>
    <t>Poisoning Detection in Federated Learning System: An Adaptive Approach</t>
  </si>
  <si>
    <t>Cheng, Anze</t>
  </si>
  <si>
    <t>Roles of artificial intelligence in wellness, healthy living, and healthy status sensing</t>
  </si>
  <si>
    <t>Cho, Peter Jaeho</t>
  </si>
  <si>
    <t>Fabrication and Characterization of Single‐Layer Textile‐Based Flexible Pressure Sensors for Smart Wearable Electronics Applications</t>
  </si>
  <si>
    <t>Choudhry, Nauman Ali</t>
  </si>
  <si>
    <t>DancingAnt: Body-empowered Wireless Sensing Utilizing Pervasive Radiations from Powerline</t>
  </si>
  <si>
    <t>Cui, Minhao</t>
  </si>
  <si>
    <t>i-Sleep: Intelligent Sleep Detection System for Analyzing Sleep Behavior</t>
  </si>
  <si>
    <t>Dhamchatsoontree, Supakit</t>
  </si>
  <si>
    <t>Diao, Haikang</t>
  </si>
  <si>
    <t>Deep Residual Networks for Sleep Posture Recognition With Unobtrusive Miniature Scale Smart Mat System</t>
  </si>
  <si>
    <t>Poster: PressureSilhouette: A Model to Predict Sleep Silhouette from Pressure Mattress Images</t>
  </si>
  <si>
    <t>Eslami, Arshia</t>
  </si>
  <si>
    <t>Wearable accelerometer based extended sleep position recognition</t>
  </si>
  <si>
    <t>Fallmann, Sarah</t>
  </si>
  <si>
    <t>FMCW Radar-based Sleep Posture Monitoring Through Logic and Deep Learning Methods</t>
  </si>
  <si>
    <t>Fan, Mingyang</t>
  </si>
  <si>
    <t>RadarSleepNet: Sleep Pose Classification via PointNet++ and 5D Radar Point Clouds</t>
  </si>
  <si>
    <t>Fusco, Alessandra</t>
  </si>
  <si>
    <t>Reproducible and accurate subject-wise sleep posture detection by detecting and removing turns</t>
  </si>
  <si>
    <t>Galvez-Goicuria, Javier</t>
  </si>
  <si>
    <t>Recognition of Human Sleep Pressure Posture Image Using Deep Residual Networks</t>
  </si>
  <si>
    <t>Gao, Hailin</t>
  </si>
  <si>
    <t>EarSleep: In-ear Acoustic-based Physical and Physiological Activity Recognition for Sleep Stage Detection</t>
  </si>
  <si>
    <t>Han, Feiyu</t>
  </si>
  <si>
    <t>A smart detection method for sleep posture based on a flexible sleep monitoring belt and vital sign signals</t>
  </si>
  <si>
    <t>He, Chunhua</t>
  </si>
  <si>
    <t>Smart Sleep Monitoring: Sparse Sensor-Based Spatiotemporal CNN for Sleep Posture Detection</t>
  </si>
  <si>
    <t>Hu, Dikun</t>
  </si>
  <si>
    <t>Inconspicuous on-bed respiratory rate monitoring</t>
  </si>
  <si>
    <t>Huang, Ming-Chun</t>
  </si>
  <si>
    <t>Memory-Efficient AI Algorithm for Infant Sleeping Death Syndrome Detection in Smart Buildings</t>
  </si>
  <si>
    <t>Huang, Qian</t>
  </si>
  <si>
    <t>A review and categorization of techniques on device-free human activity recognition</t>
  </si>
  <si>
    <t>Hussain, Zawar</t>
  </si>
  <si>
    <t>Non-invasive Techniques for Monitoring Different Aspects of Sleep: A Comprehensive Review</t>
  </si>
  <si>
    <t>A Method of Tactile Resistive Sensor Array Calibration</t>
  </si>
  <si>
    <t>Husák, Michal</t>
  </si>
  <si>
    <t>Sleep Posture Recognition With a Dual-Frequency Microwave Doppler Radar and Machine Learning Classifiers</t>
  </si>
  <si>
    <t>Islam, Shekh Md Mahmudul</t>
  </si>
  <si>
    <t>An accurate, low-cost, easy-to-use sleep posture monitoring system</t>
  </si>
  <si>
    <t>Jeng, Poyuan</t>
  </si>
  <si>
    <t>Stream data analysis of body sensors for sleep posture monitoring: An automatic labelling approach</t>
  </si>
  <si>
    <t>A Wrist Sensor Sleep Posture Monitoring System: An Automatic Labeling Approach</t>
  </si>
  <si>
    <t>Jeng, Po-Yuan</t>
  </si>
  <si>
    <t>Sleep Position Management System for Enhancing Sleep Quality using Wearable Devices</t>
  </si>
  <si>
    <t>Jeon, Sanghoon</t>
  </si>
  <si>
    <t>An Intelligent Head Posture Recognition Pillow</t>
  </si>
  <si>
    <t>Jiang, Yuxin</t>
  </si>
  <si>
    <t>Pressure-Sensor-Based Sleep Status and Quality Evaluation System</t>
  </si>
  <si>
    <t>Kau, Lih-Jen</t>
  </si>
  <si>
    <t>Sleep Posture Classification Using RGB and Thermal Cameras Based on Deep Learning Model</t>
  </si>
  <si>
    <t>Khan, Awais</t>
  </si>
  <si>
    <t>Determination of Lying Posture through Recognition of Multitier Body Parts</t>
  </si>
  <si>
    <t>Kim, Tae-Hwan</t>
  </si>
  <si>
    <t>Dual ultra-wideband (UWB) radar-based sleep posture recognition system: Towards ubiquitous sleep monitoring</t>
  </si>
  <si>
    <t>Lai, Derek Ka-Hei</t>
  </si>
  <si>
    <t>Vision Transformers (ViT) for Blanket-Penetrating Sleep Posture Recognition Using a Triple Ultra-Wideband (UWB) Radar System</t>
  </si>
  <si>
    <t>Recognition Algorithm for Sleep Postures using a Smart Fabric Pad with Multiple Pressure Sensors</t>
  </si>
  <si>
    <t>Lee, Sang Hun</t>
  </si>
  <si>
    <t>Plastic Optical Fiber Sensor-based Smart Mattress For Sleeping Posture Remote Monitoring</t>
  </si>
  <si>
    <t>Li, Tianliang</t>
  </si>
  <si>
    <t>Sleep posture recognition based on machine learning: A systematic review</t>
  </si>
  <si>
    <t>Li, Xianglin</t>
  </si>
  <si>
    <t>System Based on Artificial Intelligence Edge Computing for Detecting Bedside Falls and Sleep Posture</t>
  </si>
  <si>
    <t>Lin, Bor-Shyh</t>
  </si>
  <si>
    <t>A dense pressure sensitive bedsheet design for unobtrusive sleep posture monitoring</t>
  </si>
  <si>
    <t>Liu, J J</t>
  </si>
  <si>
    <t>A Respiration-Derived Posture Method Based on Dual-Channel Respiration Impedance Signals</t>
  </si>
  <si>
    <t>Liu, Guanzheng</t>
  </si>
  <si>
    <t>A Study on Sleep Position Recognition of Body Pressure Image based on KPCA and SVM</t>
  </si>
  <si>
    <t>Liu, Zhong</t>
  </si>
  <si>
    <t>Liu, Chen</t>
  </si>
  <si>
    <t>A fully connected deep learning approach to upper limb gesture recognition in a secure FES rehabilitation environment</t>
  </si>
  <si>
    <t>Liu, Qi</t>
  </si>
  <si>
    <t>PosMonitor: Fine-Grained Sleep Posture Recognition With mmWave Radar</t>
  </si>
  <si>
    <t>Liu, Xiulong</t>
  </si>
  <si>
    <t>TagSleep3D</t>
  </si>
  <si>
    <t>Human Sleep Posture Recognition Method Based on Interactive Learning of Ultra-Long Short-Term Information</t>
  </si>
  <si>
    <t>Luo, Bing</t>
  </si>
  <si>
    <t>Skeleton-Based Sleep Posture Recognition with BP Neural Network</t>
  </si>
  <si>
    <t>Lyu, Haozhou</t>
  </si>
  <si>
    <t>A comprehensive review on applications of Raspberry Pi</t>
  </si>
  <si>
    <t>Mathe, Sudha Ellison</t>
  </si>
  <si>
    <t>A Mechanically Durable and Flexible Organic Rectifying Diode with a Polyethylenimine Ethoxylated Cathode</t>
  </si>
  <si>
    <t>Matsuhisa, Naoji</t>
  </si>
  <si>
    <t>Monitoring breathing activity and sleep patterns using multimodal non-invasive technologies</t>
  </si>
  <si>
    <t>Papakostas, Michalis</t>
  </si>
  <si>
    <t>An Enhanced Posture Prediction-Bayesian Network Algorithm for Sleep Posture Recognition in Wireless Body Area Networks</t>
  </si>
  <si>
    <t>Roshini, A</t>
  </si>
  <si>
    <t>Paradigm of IoT big data analytics in the healthcare industry: A review of scientific literature and mapping of research trends</t>
  </si>
  <si>
    <t>Saheb, Tahereh</t>
  </si>
  <si>
    <t>Smart mattress integrated with pressure sensor and IoT functions for sleep apnea detection</t>
  </si>
  <si>
    <t>Sangeetha, T</t>
  </si>
  <si>
    <t>Weaving Physical and Physiological Sensing with Computational Fabrics</t>
  </si>
  <si>
    <t>Shao, Qijia</t>
  </si>
  <si>
    <t>A Millimeter-Wave Wireless Sensing Approach for Sleep Posture Classification</t>
  </si>
  <si>
    <t>Sitar, Edward M</t>
  </si>
  <si>
    <t>Self-Supervised Representation Learning and Temporal-Spectral Feature Fusion for Bed Occupancy Detection</t>
  </si>
  <si>
    <t>Song, Yingjian</t>
  </si>
  <si>
    <t>Sleep Posture Recognition for Bedridden Patient</t>
  </si>
  <si>
    <t>Srisrisawang, Nitikorn</t>
  </si>
  <si>
    <t>Sleep comfort analysis using a part-based mixture model with nighttime infrared video</t>
  </si>
  <si>
    <t>Su, Lumei</t>
  </si>
  <si>
    <t>A Blanket Accommodative Sleep Posture Classification System Using an Infrared Depth Camera: A Deep Learning Approach with Synthetic Augmentation of Blanket Conditions</t>
  </si>
  <si>
    <t>Tam, Andy Yiu-Chau</t>
  </si>
  <si>
    <t>Depth-Camera-Based Under-Blanket Sleep Posture Classification Using Anatomical Landmark-Guided Deep Learning Model</t>
  </si>
  <si>
    <t>SaccpaNet: A Separable Atrous Convolution-based Cascade Pyramid Attention Network to Estimate Body Landmarks Using Cross-modal Knowledge Transfer for Under-blanket Sleep Posture Classification</t>
  </si>
  <si>
    <t>CNN-Based Smart Sleep Posture Recognition System</t>
  </si>
  <si>
    <t>Tang, Keison</t>
  </si>
  <si>
    <t>Research on Sleeping Posture Recognition Method Based on Pressure Sensor</t>
  </si>
  <si>
    <t>Wang, Huabing</t>
  </si>
  <si>
    <t>Sensing beyond itself: Multi-functional use of ubiquitous signals towards wearable applications</t>
  </si>
  <si>
    <t>Wang, Zihan</t>
  </si>
  <si>
    <t>Human physiology and contactless vital signs monitoring using camera and wireless signals</t>
  </si>
  <si>
    <t>Wang, Xuyu</t>
  </si>
  <si>
    <t>Reprint of: Sensing beyond itself: Multi-functional use of ubiquitous signals towards wearable applications</t>
  </si>
  <si>
    <t>Study on behavioral risk for aging based on smart mattress monitoring data</t>
  </si>
  <si>
    <t>Wang, Hongrui</t>
  </si>
  <si>
    <t>A Deep Learning-Based Method for Nighttime Sleep Posture Recognition</t>
  </si>
  <si>
    <t>Wang, Sheng</t>
  </si>
  <si>
    <t>Construction of Swimmer's Underwater Posture Training Model Based on Multimodal Neural Network Model</t>
  </si>
  <si>
    <t>Wen, Wei</t>
  </si>
  <si>
    <t>Lightweight Neural Network for Sleep Posture Classification Using Pressure Sensing Mat at Various Sensor Densities</t>
  </si>
  <si>
    <t>Wu, Shaonan</t>
  </si>
  <si>
    <t>Research on sleeping position recognition algorithm based on human body vibration signal</t>
  </si>
  <si>
    <t>Xing, Zhe</t>
  </si>
  <si>
    <t>Blood pressure monitoring with piezoelectric bed sensor systems</t>
  </si>
  <si>
    <t>Xing, Xiaoman</t>
  </si>
  <si>
    <t>Body-Earth Mover’s Distance: A Matching-Based Approach for Sleep Posture Recognition</t>
  </si>
  <si>
    <t>Xu, Xiaowei</t>
  </si>
  <si>
    <t>Xue, Meng</t>
  </si>
  <si>
    <t>Highly Generalized Sleep Posture Recognition Using FMCW Radar</t>
  </si>
  <si>
    <t>Yao, Yicheng</t>
  </si>
  <si>
    <t>BodyCompass</t>
  </si>
  <si>
    <t>Yue, Shichao</t>
  </si>
  <si>
    <t>Sleep-pose Recognition Based On Pyroelectric Infrared Sensing Technology</t>
  </si>
  <si>
    <t>Zhang, Sijia</t>
  </si>
  <si>
    <t>Zhang, Xiangying</t>
  </si>
  <si>
    <t>The Sitting and lying Posture Recognition via Pressure Information based on Unconstrained Flexible Pressure Sensor</t>
  </si>
  <si>
    <t>Zhao, Haiwen</t>
  </si>
  <si>
    <t>Human Sleep Posture Recognition Based on Millimeter-Wave Radar</t>
  </si>
  <si>
    <t>Zhou, Tao</t>
  </si>
  <si>
    <t>Privacy-Protected Contactless Sleep Parameters Measurement Using a Defocused Camera</t>
  </si>
  <si>
    <t>Zhu, Yingen</t>
  </si>
  <si>
    <t xml:space="preserve">Triaxial accelerometer
</t>
  </si>
  <si>
    <t>LIS2DH12 (ST Electronics)</t>
  </si>
  <si>
    <t>Custom PCB with NRF5232 microcontroller</t>
  </si>
  <si>
    <t>Wearable device (3207.23 mm³ enclosure)</t>
  </si>
  <si>
    <t>MEMS-based accelerometer</t>
  </si>
  <si>
    <t>Neck (1 inch above suprasternal notch)</t>
  </si>
  <si>
    <t>Accelerometry data (X, Y, Z axes)</t>
  </si>
  <si>
    <t>Bluetooth Low Energy (BLE) for wireless data transmission</t>
  </si>
  <si>
    <t xml:space="preserve"> Not explicitly mentioned (implied real-time monitoring for prone posture detection)</t>
  </si>
  <si>
    <t>Classification of sleep postures (metrics: accuracy, F1-score, etc.)</t>
  </si>
  <si>
    <t>NRF5232 microcontroller</t>
  </si>
  <si>
    <t>Decision Tree (DT)
Extra-Trees Classifier (ET)
LSTM Neural Network (LSTM-NN)</t>
  </si>
  <si>
    <t>Optimized for low power (sampling rates as low as 5 Hz)</t>
  </si>
  <si>
    <t>18 participants (2:1 male-to-female ratio)</t>
  </si>
  <si>
    <t>Sampling rates tested: 5 Hz, 10 Hz, 25 Hz, 50 Hz
Window sizes: 1–15 seconds</t>
  </si>
  <si>
    <t xml:space="preserve"> 0.93–0.98 (varies by model)</t>
  </si>
  <si>
    <t>≥98% (all models)</t>
  </si>
  <si>
    <t>0.7–1.0 (prone posture detection critical)</t>
  </si>
  <si>
    <t xml:space="preserve"> 0.945 (DT), 0.975 (ET), 0.965 (LSTM-NN)</t>
  </si>
  <si>
    <t>Small participant pool with imbalanced gender ratio.
Controlled environment (not free-living conditions).
Prone posture detection sensitivity varied across subjects (lowest: 0.2 for one subject in DT model).
LSTM-NN showed computational inefficiency (higher prediction time with larger window sizes).</t>
  </si>
  <si>
    <t>Validation Study: Larger cohort with balanced demographics.
Free-Living Conditions: Overnight studies to validate real-world performance.
Embedded Deployment: Integration into wearable hardware for real-time use.
Multimodal Sensing: Combine with other biomarkers (e.g., respiratory rate) for comprehensive monitoring.</t>
  </si>
  <si>
    <t>Supine, Prone, Lateral Left, Lateral Right</t>
  </si>
  <si>
    <t>Millimeter-wave (mmWave) transceiver</t>
  </si>
  <si>
    <t>Texas Instruments IWR1443BOOST (77–81 GHz)</t>
  </si>
  <si>
    <t>Commercial off-the-shelf (COTS) hardware</t>
  </si>
  <si>
    <t>Custom monitoring setup (not embedded in a mat)</t>
  </si>
  <si>
    <t>2 (dual-antenna array)</t>
  </si>
  <si>
    <t>N/A (bed placement at 2.5 m from sensors)</t>
  </si>
  <si>
    <t>FMCW (Frequency Modulated Continuous Wave) radar</t>
  </si>
  <si>
    <t>Placed 2.5 meters from the bed (azimuth, depth, and elevation coverage)</t>
  </si>
  <si>
    <t>mmWave reflected signals (25 fps)</t>
  </si>
  <si>
    <t>Data transmitted to a host PC/GPU server for processing</t>
  </si>
  <si>
    <t>Toss-turn detection (binary rest/toss-turn states)</t>
  </si>
  <si>
    <t>3D joint locations, posture classification, toss-turn timing</t>
  </si>
  <si>
    <t>5 (Supine, Lateral Left/Right, Fetal, Prone)</t>
  </si>
  <si>
    <t>Fine-grained skeletal tracking (21 body joints)</t>
  </si>
  <si>
    <t>NRF5232 microcontroller (mmWave device) + host PC</t>
  </si>
  <si>
    <t>Toss-Turn Detection: Cross-correlation + HMM-Viterbi
Posture Prediction: Custom DCNN (Joint Regressor + Height Classifier)</t>
  </si>
  <si>
    <t>Not explicitly stated (optimized for COTS mmWave devices)</t>
  </si>
  <si>
    <t>8 volunteers (ages 19–30, diverse heights/genders)
40K toss-turn samples (16.7 GB raw) + 27K static posture samples (2.5 GB processed)</t>
  </si>
  <si>
    <t>Sampling rate: 25 fps (mmWave), 30 fps (Kinect ground truth)
Window size: 1-second RMS for envelope detection</t>
  </si>
  <si>
    <t>0.97 (median)</t>
  </si>
  <si>
    <t>On par with vision-based systems</t>
  </si>
  <si>
    <t>Low Resolution: mmWave signals lack fine-grained detail for joint detection.
Specularity/Aliasing: Uneven reflections and antenna spacing artifacts.
Toss-Turn Noise: Sudden movements corrupt signal integrity.
Generalization: Model requires finetuning for diverse body types.
Hardware Limitations: COTS devices have fixed antenna configurations.</t>
  </si>
  <si>
    <t>Multi-Person Monitoring: Extend to two-person sleep tracking.
Long-Term Validation: Overnight studies in free-living conditions.
Integration with 5G: Leverage mmWave routers for at-home deployment.
Real-Time Edge Processing: Reduce latency for clinical use.
Open-Source Dataset: Release code and data for community research.</t>
  </si>
  <si>
    <t>Millimeter-wave (mmWave) wireless system</t>
  </si>
  <si>
    <t>Commercial-Off-The-Shelf (COTS) mmWave transceivers</t>
  </si>
  <si>
    <t>TI IWR1443BOOST (77-81 GHz mmWave transceiver)</t>
  </si>
  <si>
    <t>Not embedded; external setup with two mmWave transceivers and an RGB-D camera (Microsoft Kinect Xbox One)</t>
  </si>
  <si>
    <t>Two mmWave transceivers (3×4 and 4×3 antenna configurations)
One RGB-D camera (for ground truth)</t>
  </si>
  <si>
    <t>Queen-size bed (used in experiments)</t>
  </si>
  <si>
    <t>Frequency Modulated Continuous Waves (FMCW)
Channel Impulse Response (CIR) estimation</t>
  </si>
  <si>
    <t>Placed 2.5 meters in front of the bed</t>
  </si>
  <si>
    <t>Reflected mmWave signals (24×256 dimensions)</t>
  </si>
  <si>
    <t>Potential integration with 5G smart home devices (e.g., routers, access points)</t>
  </si>
  <si>
    <t>Not explicitly mentioned, but toss-turn detection could trigger alerts.</t>
  </si>
  <si>
    <t>Provides 3D joint locations, posture classification, and toss-turn events.</t>
  </si>
  <si>
    <t>5 broad categories</t>
  </si>
  <si>
    <t>Supine, Right Lateral, Right Fetal, Left Lateral, Left Fetal</t>
  </si>
  <si>
    <t>Host PC and GPU servers running Matlab and Python</t>
  </si>
  <si>
    <t>Deep Convolutional Neural Network (DCNN)
Hidden Markov Model (HMM) with Viterbi decoder
Cross-correlation and envelope detection</t>
  </si>
  <si>
    <t>Not specified</t>
  </si>
  <si>
    <t>70k samples (&gt;18.5 GB) from 8 volunteers</t>
  </si>
  <si>
    <t>Processed data: 2.5 GB</t>
  </si>
  <si>
    <t>0.97 (median for toss-turn detection)</t>
  </si>
  <si>
    <t>87% to 94% (height classification)
Above 90% (posture classification)
85% to 100% (toss-turn detection)</t>
  </si>
  <si>
    <t>0.88 (median for toss-turn detection)</t>
  </si>
  <si>
    <t>0.92 (median for toss-turn detection)</t>
  </si>
  <si>
    <t>Low resolution and aliasing in mmWave imaging.
Specular reflections causing signal loss.
Separation of human shape from background reflections.
Generalization across diverse populations.</t>
  </si>
  <si>
    <t>Extend to monitor two persons on a bed.
Deploy on COTS mmWave networking devices (e.g., 5G routers).
Long-term sleep monitoring and field deployment.
Improve performance under blankets using pressure sensor mattresses.</t>
  </si>
  <si>
    <t>Force-sensitive resistors (pressure-sensing mats)</t>
  </si>
  <si>
    <t>Custom-made elastic force-sensitive resistors</t>
  </si>
  <si>
    <t>Custom-made sensor mats (manufactured by sensomatve, Switzerland)</t>
  </si>
  <si>
    <t>Placed underneath the mattress</t>
  </si>
  <si>
    <t>8-channel sensor mats (two mats used side-by-side for a double bed, totaling 16 sensors, but only 8 selected for analysis)</t>
  </si>
  <si>
    <t>Single mat: 80 × 20 cm
Each sensor element: 9 × 20 cm</t>
  </si>
  <si>
    <t>Pressure-sensitive resistive sensors
Sampled using an 8-channel, 24-bit ADC (AD-7771 by Analog Devices)</t>
  </si>
  <si>
    <t>Placed width-wise on the mattress to cover the sleeping area</t>
  </si>
  <si>
    <t>Pressure distribution data from the sensor mats</t>
  </si>
  <si>
    <t>Data recorded on a Raspberry Pi 4</t>
  </si>
  <si>
    <t>Bed occupancy detection can trigger interventions for sleep-related breathing disorders.</t>
  </si>
  <si>
    <t>Provides sleep posture classification (supine/non-supine, lateral left/right) and bed occupancy status.</t>
  </si>
  <si>
    <t>3 primary postures: Supine, Lateral Left, Lateral Right
(Prone and other postures were excluded due to rarity in the dataset.)</t>
  </si>
  <si>
    <t>Supine
Lateral Left
Lateral Right</t>
  </si>
  <si>
    <t>Raspberry Pi 4</t>
  </si>
  <si>
    <t>Personalized classifiers: Trained using XGBoost (binary and multiclass).
Feature extraction: Includes sum of sensor values, lateral center of pressure, variance, mean, skewness, kurtosis, etc.
Bed occupancy detection: Rule-based using simple moving averages.</t>
  </si>
  <si>
    <t>Not explicitly mentioned, but Raspberry Pi 4 and ADC suggest low-power operation.</t>
  </si>
  <si>
    <t>Data from 6 male patients with position-dependent sleep apnea, recorded over 3 nights each.</t>
  </si>
  <si>
    <t>Not explicitly stated, but includes 3 nights of data per patient at 1 kHz sampling rate.</t>
  </si>
  <si>
    <t>Binary classification (supine/non-supine): 66.9% (inter-patient), 62.1% (intra-patient).
Multiclass classification (supine/lateral left/lateral right): 56.3% (inter-patient), 46.2% (intra-patient).</t>
  </si>
  <si>
    <t>Binary classification: 61.6% (inter-patient), 60.2% (intra-patient).
Multiclass classification: 50.9% (inter-patient), 51.6% (intra-patient).</t>
  </si>
  <si>
    <t>Binary classification: 62.1% (inter-patient), 61.3% (intra-patient).
Multiclass classification: 49.1% (inter-patient), 46.2% (intra-patient).</t>
  </si>
  <si>
    <t>Bed occupancy detection: F1-score of 98.1%.
Posture classification accuracy not directly reported, but F1-scores provide performance metrics.</t>
  </si>
  <si>
    <t>Class imbalance: Supine position was overrepresented.
Misclassifications: Could lead to undertreatment or unnecessary interventions in clinical applications.
Low spatial resolution: Limited by 8-channel sensor mats, reducing posture discrimination accuracy.
Exclusion of prone/postures: Rare postures were removed from analysis.</t>
  </si>
  <si>
    <t>Higher-resolution sensors: To improve classification accuracy.
Larger datasets: Including more participants and postures (e.g., prone).
Real-time closed-loop systems: For positional therapy in sleep apnea patients.
Integration with other modalities: Combining pressure sensors with accelerometers or video for robustness.</t>
  </si>
  <si>
    <t>Pressure sensors (FSR, textile, strain gauge, piezoresistive, load cell)
Inertial sensors (accelerometer, IMU)
Mixed sensors (pressure + infrared, pressure + ultrasonic)
RFID, LiDAR, ultrasonic, flex sensors</t>
  </si>
  <si>
    <t>Velostat, nanomaterial-based films, conductive fabric, polyester substrate, MEMS, Ecoflex 00-30</t>
  </si>
  <si>
    <t>DF9-40, IMS-C20A, BF350, FSR 406, CI-2062, IMM00014, MPU6050, MLX90640.</t>
  </si>
  <si>
    <t>Cushions, seats, wearable devices, mattresses, smartphones, wheelchairs.</t>
  </si>
  <si>
    <t>Ranges from 1 (strain gauge) to 1024 (32x32 pressure arrays).</t>
  </si>
  <si>
    <t>Varied configurations (e.g., 32x32, 44x52, 11x13).</t>
  </si>
  <si>
    <t>Resistive, piezoresistive, FMCW radar, RFID, conductive fabric.</t>
  </si>
  <si>
    <t>Seat, back, arms, chest, neck, wheelchair, mattress.</t>
  </si>
  <si>
    <t>Pressure distribution, voltage values, accelerometer data, point clouds, infrared snapshots.</t>
  </si>
  <si>
    <t>Yes/No (e.g., Arduino, Raspberry Pi, ESP32).</t>
  </si>
  <si>
    <t>Visual (desktop/mobile), audio (buzzer), vibrotactile, airbag feedback.</t>
  </si>
  <si>
    <t xml:space="preserve">2–15 postures </t>
  </si>
  <si>
    <t>upright, leaning left/right/forward/backward, crossed legs, prone</t>
  </si>
  <si>
    <t>STM32, Arduino Mega, Raspberry Pi, ESP32, NRF5232</t>
  </si>
  <si>
    <t>Machine Learning: SVM, KNN, Random Forest, CNN, ANN, LSTM.
Custom: Fuzzy logic, ISOM, PCA + Neural Networks.</t>
  </si>
  <si>
    <t>Low-power optimized (e.g., BLE, 5Hz sampling).</t>
  </si>
  <si>
    <t>Custom-collected (e.g., 10–50 participants), public datasets (Skoda, PAMAP2).</t>
  </si>
  <si>
    <t>100–312,587 samples (e.g., 8000 frames, 6300 recordings).</t>
  </si>
  <si>
    <t>78.57–99.41%</t>
  </si>
  <si>
    <t>80–99.41%</t>
  </si>
  <si>
    <t>84.62–98.70%</t>
  </si>
  <si>
    <t>0.81–0.9941</t>
  </si>
  <si>
    <t>Sensor Limitations:
Crosstalk in pressure arrays, noise in textile sensors.
Low resolution for mmWave/LiDAR.
Data Complexity:
Small/imbalanced datasets, variability in body types.
Real-World Deployment:
Privacy concerns (RFID/infrared), user comfort (wearables).
Algorithm Generalization:
Difficulty distinguishing similar postures (e.g., supine vs. lateral).</t>
  </si>
  <si>
    <t>Hardware Enhancements:
Higher-resolution sensors, multi-modal fusion (e.g., pressure + ECG).
Algorithm Improvements:
Transfer learning, real-time edge processing.
User-Centric Design:
Gamification, long-term health monitoring integration.
Applications:
Clinical validation, smart furniture integration (e.g., 5G routers)</t>
  </si>
  <si>
    <t>Triaxial accelerometer</t>
  </si>
  <si>
    <t>Not explicitly mentioned (part of a custom PCB)</t>
  </si>
  <si>
    <t>Not applicable (wearable device)</t>
  </si>
  <si>
    <t>Accelerometry</t>
  </si>
  <si>
    <t>Neck (worn using a double-sided adhesive)</t>
  </si>
  <si>
    <t>Accelerometer data (x, y, z axes) sampled at 100 Hz</t>
  </si>
  <si>
    <t>Data transmitted wirelessly via Bluetooth Low Energy (BLE)</t>
  </si>
  <si>
    <t>Not explicitly mentioned</t>
  </si>
  <si>
    <t>Supine, Prone, Lateral Right, Lateral Left</t>
  </si>
  <si>
    <t>NRF5232 microcontroller (Nordic Semiconductor)</t>
  </si>
  <si>
    <t>Threshold-based model (Decision Tree-derived rules)
Extra-Trees Classifier (machine learning)</t>
  </si>
  <si>
    <t xml:space="preserve"> Collected from 18 participants (12 males, 6 females)</t>
  </si>
  <si>
    <t>Threshold-based: 0.89
Extra-Trees: 0.99</t>
  </si>
  <si>
    <t>Threshold-based: 95%
Extra-Trees: 99%</t>
  </si>
  <si>
    <t>Threshold-based: 0.96
Extra-Trees: 0.98</t>
  </si>
  <si>
    <t>Suboptimal location (neck) for posture detection compared to torso or chest.
Need for multi-modal biomarker extraction in clinical applications (e.g., SUDEP prevention).</t>
  </si>
  <si>
    <t>Deployment of lightweight models (threshold-based or Extra-Trees) on wearable hardware for real-time monitoring.
Exploration of trade-offs between model complexity and accuracy for specific applications.</t>
  </si>
  <si>
    <t>Non-invasive Sleeping Posture Recognition And Body Movement Detection Based On RFID</t>
  </si>
  <si>
    <t>Xiaoxuan</t>
  </si>
  <si>
    <t>RFID (Radio Frequency Identification)</t>
  </si>
  <si>
    <t>Commercial RFID tags (material not specified)</t>
  </si>
  <si>
    <t>COTS (Commercial Off-The-Shelf) RFID system (reader, antenna, tags).</t>
  </si>
  <si>
    <t>Blanket (tags attached to fabric).</t>
  </si>
  <si>
    <t xml:space="preserve"> 64 tags arranged in an 8×8 matrix.</t>
  </si>
  <si>
    <t>8×8 grid (64 tags).</t>
  </si>
  <si>
    <t>Passive RFID sensing (RSSI-based).</t>
  </si>
  <si>
    <t>Tags on blanket; antenna on ceiling (~2m above bed).</t>
  </si>
  <si>
    <t>RSSI (Received Signal Strength Indicator) values from tags.</t>
  </si>
  <si>
    <t>Yes (RFID reader and antenna system).</t>
  </si>
  <si>
    <t>Not explicitly mentioned (implied real-time monitoring).</t>
  </si>
  <si>
    <t>Detects posture changes and body movements.</t>
  </si>
  <si>
    <t>(face up, face down, look left, look right, empty bed).</t>
  </si>
  <si>
    <t>Not specified (likely a computer/RFID reader).</t>
  </si>
  <si>
    <t>CNN (Convolutional Neural Network): For posture recognition (86.28% avg. accuracy).
k-means clustering: For body movement detection.
FIR Low Pass Filter: Noise reduction for RSSI signals.</t>
  </si>
  <si>
    <t>Low (passive RFID tags).</t>
  </si>
  <si>
    <t>86.28% (posture recognition).</t>
  </si>
  <si>
    <t>Not explicitly reported for movement detection.</t>
  </si>
  <si>
    <t>Data collected from 3 participants (5-minute sessions).</t>
  </si>
  <si>
    <t xml:space="preserve">400 training samples, 100 test samples.
</t>
  </si>
  <si>
    <t>Material Sensitivity: Performance affected by blanket material.
Manual Thresholds: Movement detection requires predefined RSSI intervals.
Overfitting: CNN performance drops with &gt;3 hidden layers.
Partial Coverage: Movements in one body part may not trigger all tags.</t>
  </si>
  <si>
    <t>Adaptive Thresholds: Automate interval definitions for movement detection.
Material Optimization: Test with different blanket fabrics.
Extended Postures: Recognize more complex sleeping positions.
Integration: Combine with breath monitoring (as in prior work).</t>
  </si>
  <si>
    <t xml:space="preserve">Sleep pattern inference using IoT sonar monitoring and machine 
learning with Kennard-stone balance algorithm </t>
  </si>
  <si>
    <t>Tengyue</t>
  </si>
  <si>
    <t>Sonar (ultrasonic) sensors</t>
  </si>
  <si>
    <t>Not explicitly mentioned (part of a custom setup with Arduino)</t>
  </si>
  <si>
    <t>Custom-made ultrasonic transducer (specific model not mentioned)</t>
  </si>
  <si>
    <t>Arduino controller</t>
  </si>
  <si>
    <t>2 (initially tested; scalable to arrays)</t>
  </si>
  <si>
    <t>Not applicable (sensors placed on bed edges)</t>
  </si>
  <si>
    <t>Ultrasonic time-of-flight (ToF)</t>
  </si>
  <si>
    <t>L-shaped placement at the side and bottom edges of a bed</t>
  </si>
  <si>
    <t>Proximity data (distance measurements) from sonar sensors, optionally augmented with sound recordings</t>
  </si>
  <si>
    <t>Data transmitted via USB to a computer for real-time analysis</t>
  </si>
  <si>
    <t>Capable of triggering alarms for abnormal postures (e.g., prone position in infants)</t>
  </si>
  <si>
    <t>Generates sleep posture reports with timestamps and duration of each posture</t>
  </si>
  <si>
    <t>Face-up still
Face-up moving
Sideway-left still
Sideway-left moving
Face-down still
Sitting up</t>
  </si>
  <si>
    <t>Pre-processing: Kennard-Stone Balance (KSB) algorithm for data sampling
Machine Learning: Random Forest (RF), K-Nearest Neighbors (KNN), Decision Trees (DT), Support Vector Machine (SVM), Neural Networks (NN), Deep Learning (CNN)</t>
  </si>
  <si>
    <t>Collected from a 3-year-old subject</t>
  </si>
  <si>
    <t>(simulated sleep postures)</t>
  </si>
  <si>
    <t>Best: 91.7% (with KSB + RF and sound input)</t>
  </si>
  <si>
    <t>Not explicitly reported (implied high via F1-score)</t>
  </si>
  <si>
    <t>Not explicitly reported (high accuracy suggests strong performance)</t>
  </si>
  <si>
    <t>Limited resolution with minimal sensors (trade-off between cost and effectiveness).
Class imbalance in posture data affecting model performance.
Real-time processing requirements for continuous monitoring.</t>
  </si>
  <si>
    <t>Scaling up to sensor arrays for higher-resolution posture detection.
Integration with multi-modal data (e.g., sound, pressure sensors).
Development of a user-friendly sleep report interface for clinical and home use.
Expansion to more complex postures and larger datasets.</t>
  </si>
  <si>
    <t>Software defined radio frequency sensing framework for Internet of Medical Things</t>
  </si>
  <si>
    <t>Najah AbuAli</t>
  </si>
  <si>
    <t>RF (Radio Frequency) sensing via Software-Defined Radio (SDR).</t>
  </si>
  <si>
    <t>Not explicitly specified (COTS hardware, including USRP devices and directional antennas).</t>
  </si>
  <si>
    <t>Universal Software Radio Peripheral (USRP) devices.</t>
  </si>
  <si>
    <t>Non-contact system (no direct embedding; antennas placed in the environment).</t>
  </si>
  <si>
    <t>2 directional antennas (1 transmitter, 1 receiver).</t>
  </si>
  <si>
    <t>N/A (system uses RF subcarriers: 256 total, 146 selected).</t>
  </si>
  <si>
    <t>SDR-based RF sensing (4.8 GHz frequency).</t>
  </si>
  <si>
    <t>Antennas placed 4 feet apart, 1.5 feet height, targeting human subjects.</t>
  </si>
  <si>
    <t>RF channel state information (WCSI) reflecting micro-movements (e.g., chest/abdomen for respiration).</t>
  </si>
  <si>
    <t>Yes (IoMT framework with cloud/healthcare service connectivity).</t>
  </si>
  <si>
    <t>Implied (real-time monitoring for respiratory abnormalities).</t>
  </si>
  <si>
    <t xml:space="preserve">Classifies respiratory patterns (Eupnea, Bradypnea, Tachypnea, Sleep Apnea).
</t>
  </si>
  <si>
    <t>N/A</t>
  </si>
  <si>
    <t>(focus on respiratory patterns, not postures).</t>
  </si>
  <si>
    <t>Laptop running LabVIEW for SDR control.</t>
  </si>
  <si>
    <t>Deep Learning: RNN, LSTM, Bi-LSTM, GRU, Bi-GRU (98.18–98.52% accuracy).
Traditional ML: EBT, Q-SVM, FKNN (64.89–94.91% accuracy).
Signal Processing: Discrete Wavelet Transform (DWT), moving average filter, OFDM subcarrier selection.</t>
  </si>
  <si>
    <t>Not specified (SDR systems typically moderate power).</t>
  </si>
  <si>
    <t>4 respiratory patterns: Eupnea, Bradypnea, Tachypnea, Sleep Apnea.</t>
  </si>
  <si>
    <t>25 subjects, 100 experiments, 14,600 records (60-second activities).</t>
  </si>
  <si>
    <t>Not explicitly reported (confusion matrices provided).</t>
  </si>
  <si>
    <t>Up to 98.52% (Bi-GRU).</t>
  </si>
  <si>
    <t xml:space="preserve">Not explicitly reported (confusion matrices provided).
</t>
  </si>
  <si>
    <t>Multi-Person Monitoring: Accuracy drops with multiple subjects (93.5% for 2 persons, 88.4% for 3).
Signal Noise: RF signals require advanced denoising (DWT outperformed traditional filters).
Manual Thresholds: Movement detection relies on predefined RSSI intervals.
Real-World Variability: Limited testing in diverse environments/demographics.</t>
  </si>
  <si>
    <t>Expand Diagnostic Scope: Include other health conditions (e.g., cardiac monitoring).
Multi-Sensor Fusion: Integrate additional modalities (e.g., ECG, SpO₂).
Real-World Deployment: Test in clinical settings with larger, diverse datasets.
Automated Thresholds: Replace manual RSSI interval definitions with adaptive algorithms.
Privacy Enhancements: Strengthen HIPAA/GDPR compliance for medical data.</t>
  </si>
  <si>
    <t>A review and categorization of techniques on device-free human activity
 recognition</t>
  </si>
  <si>
    <t xml:space="preserve"> Zawar Hussain</t>
  </si>
  <si>
    <t>Passive RFID tags
Accelerometer
Gyroscope
Magnetometer
Motion sensors
Proximity sensors
Infrared sensors
Wi-Fi (CSI)
Radar</t>
  </si>
  <si>
    <t>Electromechanical devices (e.g., accelerometer)
Electronic sensors (e.g., proximity sensors)
RF-based technologies (e.g., RFID, Wi-Fi, Radar)</t>
  </si>
  <si>
    <t>COTS (Commercial Off-The-Shelf) RFID tags
Kinect sensor
Walabot Pro (RF-radar)</t>
  </si>
  <si>
    <t>Wearable devices (e.g., wristbands, smartphones)
Objects (e.g., tagged objects in smart environments)
Environment (e.g., walls, floors, ceilings)</t>
  </si>
  <si>
    <t>Varies by system (e.g., 72 sensors in the Opportunity dataset, 16 in the TUM Kitchen dataset)</t>
  </si>
  <si>
    <t>Not explicitly mentioned, but RFID tags are often deployed in arrays or grids (e.g., TagSheet uses a matrix of passive RFID tags embedded in a sleeping mat).</t>
  </si>
  <si>
    <t>RFID (Radio Frequency Identification)
Wi-Fi (Channel State Information)
Radar (Doppler Effect)
Depth cameras (e.g., Kinect)</t>
  </si>
  <si>
    <t>On-body (wearable sensors)
Attached to objects (e.g., kitchen utensils, furniture)
Deployed in the environment (e.g., walls, floors, ceilings)</t>
  </si>
  <si>
    <t>RSSI (Received Signal Strength Indicator)
Phase values
CSI (Channel State Information)
Accelerometer data
Gyroscope data</t>
  </si>
  <si>
    <t>RFID and Wi-Fi are commonly used for IoT-based applications like smart homes and healthcare monitoring.</t>
  </si>
  <si>
    <t>Systems like fall detection (e.g., TagFall, RF-Care) can trigger alerts for abnormal activities.</t>
  </si>
  <si>
    <t>Activity recognition results can be logged or transmitted for monitoring (e.g., remote healthcare systems).</t>
  </si>
  <si>
    <t>Varies by system (e.g., RF-Care recognizes steady postures like standing, sitting, lying; TagSheet identifies 6 sleeping postures).</t>
  </si>
  <si>
    <t>Standing, sitting, lying, walking, running, sleeping postures, etc.</t>
  </si>
  <si>
    <t>Machine learning algorithms (e.g., SVM, KNN, Random Forest, HMM)
Deep learning models (e.g., CNN, LSTM)</t>
  </si>
  <si>
    <t>SVM (Support Vector Machine)
KNN (k-Nearest Neighbors)
Random Forest
HMM (Hidden Markov Model)
CNN (Convolutional Neural Network)
LSTM (Long Short-Term Memory)</t>
  </si>
  <si>
    <t>Passive RFID tags are energy-efficient as they harvest energy from the reader.
Wearable sensors may require battery power.</t>
  </si>
  <si>
    <t>Opportunity dataset
TUM Kitchen dataset
War dataset
Ambient Kitchen dataset</t>
  </si>
  <si>
    <t>Opportunity dataset: 701,366 samples
War dataset: 4,800 samples</t>
  </si>
  <si>
    <t>High (&gt;90%) for many RFID-based systems (e.g., TagFall, RF-Care).</t>
  </si>
  <si>
    <t>High (&gt;90%) for most systems (e.g., gesture recognition, posture recognition).
Medium (&gt;80% &amp; &lt;90%) for some Wi-Fi-based systems.</t>
  </si>
  <si>
    <t>Not explicitly mentioned, but high accuracy implies good recall in most cases.</t>
  </si>
  <si>
    <t>Not explicitly mentioned in the file.</t>
  </si>
  <si>
    <t>Environmental interference (e.g., noise in RF signals)
Variability in activities (same activity performed differently by different users)
Real-time processing requirements
Privacy concerns (especially for vision-based systems)
Limited datasets for RF-based approaches</t>
  </si>
  <si>
    <t>Recognition of composite activities (combinations of simple activities)
Multi-subject activity recognition
Detection of abnormal activities
Prediction of future activities
Reducing environmental interference
Standardizing testing setups and benchmarks</t>
  </si>
  <si>
    <t>Ultra-wideband (UWB) radar</t>
  </si>
  <si>
    <t>XeThru X4M03 v5 (Novelda, Oslo, Norway)</t>
  </si>
  <si>
    <t>2 (dual-radar system)</t>
  </si>
  <si>
    <t>Top radar: Hung 2.1 m from the ground (ceiling-like position)
Side radar: Positioned 0.9 m from the ground on a tripod (right side of the bed)</t>
  </si>
  <si>
    <t>Impulse radar with center frequencies of 7.29 GHz or 8.748 GHz, pulse repetition frequency of 15.188 MHz, and sampling frequency of 23.328 GHz.</t>
  </si>
  <si>
    <t>Hospital bed dimensions: 1.93 m × 0.84 m × 0.5 m (with mattress)</t>
  </si>
  <si>
    <t>Radiofrequency data from two radars (78 bins/frame at 20 fps).</t>
  </si>
  <si>
    <t>Potential for integration with IoT technologies (mentioned as future work).</t>
  </si>
  <si>
    <t xml:space="preserve"> Not explicitly mentioned, but the system is designed for sleep posture monitoring and assessment.</t>
  </si>
  <si>
    <t>Supine, left lateral, right lateral, prone.</t>
  </si>
  <si>
    <t>Traditional Machine Learning: Random Forest (RF), XGBoost, SVM, Logistic Regression.
Deep Learning: ResNet50, DenseNet121, LSTM, Transformer.
Feature Extraction: Predetermined statistical features (mean, variance, kurtosis, etc.), deep feature extractors.</t>
  </si>
  <si>
    <t>18 healthy adults (720 samples: 18 participants × 4 postures × 10 repetitions).
Data Size: 31,200 samples per posture (78 bins × 20 fps × 10 sec × 2 radars).</t>
  </si>
  <si>
    <t>0.938 (Random Forest with ablation study).</t>
  </si>
  <si>
    <t>Small sample size (potential overfitting).
Single-side radar placement (lacks symmetry validation).
No beamforming/beam steering for precise region-of-interest tracking.
Privacy/ethical considerations (addressed via IRB approval).</t>
  </si>
  <si>
    <t>Implement beamforming/beam steering with multiple radars.
Expand data collection to OSA patients.
Integrate with existing sleep surveillance systems (e.g., depth camera-based monitoring).
Explore rapid eye movement (REM) tracking and blanket-condition posture classification.</t>
  </si>
  <si>
    <t>Low (6.3 dBm transmission power).</t>
  </si>
  <si>
    <t>Health and sleep nursing assistant for real-time, contactless,
and non-invasive monitoring</t>
  </si>
  <si>
    <t>Maria Valero</t>
  </si>
  <si>
    <t>Geophone (seismic sensor)</t>
  </si>
  <si>
    <t>Not explicitly mentioned, but typically consists of a coil and magnet assembly.</t>
  </si>
  <si>
    <t>SM-24 Geophone Element</t>
  </si>
  <si>
    <t>Bed frame</t>
  </si>
  <si>
    <t>1 (per bed)</t>
  </si>
  <si>
    <t>Not specified, but tested on king, queen, and single beds.</t>
  </si>
  <si>
    <t>Vibration sensing with a sampling rate of 100 Hz (0–50 Hz frequency range).</t>
  </si>
  <si>
    <t>Mounted on the bed frame, within 40 cm of the heart location when the person is lying down.</t>
  </si>
  <si>
    <t>Bed vibrations generated by body movements, heartbeat, and respiration.</t>
  </si>
  <si>
    <t>Yes, integrates with cloud storage (InfluxDB) and real-time dashboards (Grafana). Alerts can be sent via email, SMS, or smart assistants (e.g., Google Home, Amazon Echo).</t>
  </si>
  <si>
    <t>Real-time alerts for bed exits, falls, posture changes, and abnormal vital signs.</t>
  </si>
  <si>
    <t>Provides sleep patterns, vital signs (HR, RR), movement logs, and posture changes via a user-friendly dashboard.</t>
  </si>
  <si>
    <t>Not explicitly stated, but the system detects posture changes (e.g., left, right, back, chest).</t>
  </si>
  <si>
    <t>Supine, lateral (left/right), prone (chest)</t>
  </si>
  <si>
    <t>Raspberry Pi 3B (single-board computer).</t>
  </si>
  <si>
    <t>Not specified, but designed for low-power operation on Raspberry Pi.</t>
  </si>
  <si>
    <t>Signal Processing: Bandpass filtering (0.1–8 Hz), notch filters for noise removal, spectral entropy, kurtosis, Teager Energy Operator (TEO).
Machine Learning: SVM for fall detection, envelope-based HR/RR estimation, cross-correlation for posture identification.</t>
  </si>
  <si>
    <t>Lab tests: 10 healthy participants (6 males, 4 females).
Field tests: 25 participants in 13 homes, 2 seniors in a care facility.
Simulated falls: 480 events.</t>
  </si>
  <si>
    <t>Continuous real-time monitoring (sliding windows of 30 s for initialization, then updates every 3–5 s).</t>
  </si>
  <si>
    <t>On-bed detection: 99.5%.
Off-bed detection: 99.73%.
Movement detection: 97.92%.
Posture change: 92.08%.
Fall detection: 97%.
HR Estimation: Mean absolute error (MAE) of ±2.41 BPM (vs. Apple Watch).
RR Estimation: MAE of ±0.89 RPM (vs. FDA oximeter/metronome).</t>
  </si>
  <si>
    <t>Fall detection: Precision = 0.69, Recall = 0.81, F1 = 0.75 (SVM).
Posture change: F1 = 0.96 (best case</t>
  </si>
  <si>
    <t>Ambient Noise: Interference from appliances (e.g., AC, washer/dryer).
Sensor Placement: Must be within 40 cm of the heart; ineffective for king beds if the user sleeps far from the sensor.
Multi-Occupant Beds: Cannot distinguish signals from multiple people.
False Positives: Occasional misclassification of sitting as on-bed due to faint heartbeat signals.</t>
  </si>
  <si>
    <t>Multi-Sensor Integration: Add more sensors to support multi-occupant beds.
Advanced Filtering: Adaptive filters for dynamic noise (e.g., washer/dryer cycles).
Posture Identification: Expand posture classification using machine learning (e.g., SVM with heartbeat motion features).
Floor Sensors: Combine bed and floor sensors to improve fall detection accuracy.
Commercialization: Optimize for cost and scalability for home use.</t>
  </si>
  <si>
    <t>Sleeping Posture Recognition with an Unobtrusive Passive Tag Matrix</t>
  </si>
  <si>
    <t>Jia Liu</t>
  </si>
  <si>
    <t>Passive RFID tags.</t>
  </si>
  <si>
    <t>Not explicitly mentioned, but tags are thin and flexible (likely plastic or similar material).</t>
  </si>
  <si>
    <t>Impinj H47.</t>
  </si>
  <si>
    <t>Taped under a bed sheet or on a thin plastic film placed under the mattress.</t>
  </si>
  <si>
    <t>540 (30 rows × 18 columns).</t>
  </si>
  <si>
    <t>Not explicitly stated, but tags are 5cm × 5cm with 2cm intervals.
Estimated mat size:
Width: (30 tags × 5cm) + (29 gaps × 2cm) = 150cm + 58cm = 208cm (~2.08m).
Length: (18 tags × 5cm) + (17 gaps × 2cm) = 90cm + 34cm = 124cm (~1.24m).</t>
  </si>
  <si>
    <t>Passive RFID backscatter signals.</t>
  </si>
  <si>
    <t>Under the bed sheet/mattress; reader antennas mounted on tripods 2.0 meters high.</t>
  </si>
  <si>
    <t>RSSI (Received Signal Strength Indicator) measurements from tags.</t>
  </si>
  <si>
    <t>Yes, uses RFID reader (Impinj Speedway R420) and passive tags for wireless communication.</t>
  </si>
  <si>
    <t>Not explicitly mentioned, but the system is designed for medical applications where alerts could be integrated.</t>
  </si>
  <si>
    <t>Not explicitly mentioned, but the system provides posture recognition and respiration rate estimation.</t>
  </si>
  <si>
    <t>Supine, prone, left log, right log, left foetus, right foetus.</t>
  </si>
  <si>
    <t>Impinj Speedway R420 RFID reader.</t>
  </si>
  <si>
    <t>Hierarchical recognition scheme combining:
Image processing (Otsu’s method for binary conversion).
Polynomial fitting (quadratic for log postures, cubic for foetus postures).
PCA (Principal Component Analysis) for image rotation correction.
Wavelet transform for respiration rate estimation.</t>
  </si>
  <si>
    <t>Passive tags are battery-free; powered by RF waves from the reader.</t>
  </si>
  <si>
    <t>Data collected from 12 volunteers with varying heights (155–185 cm) and weights (42–87 kg).</t>
  </si>
  <si>
    <t>Not explicitly mentioned, but experiments involved 200+ supine/prone images and other postures.</t>
  </si>
  <si>
    <t>Up to 96.7%.</t>
  </si>
  <si>
    <t>Up to 96.7% (reported as precision; accuracy is likely similar).</t>
  </si>
  <si>
    <t>Superior to MCR (83.5% recall for MCR; exact value for TagSheet not stated but implied to be high).</t>
  </si>
  <si>
    <t>Not explicitly mentioned.</t>
  </si>
  <si>
    <t>Low resolution of RF snapshots compared to visual/pressure mapping.
Avoiding personalized training for plug-and-play use.
Handling posture transitions and signal noise.
Distinguishing supine/prone due to bilateral symmetry.</t>
  </si>
  <si>
    <t>Not explicitly mentioned, but potential directions could include:
Expanding to more postures or finer-grained classifications.
Integrating real-time alerts for medical applications.
Improving robustness to environmental interference.
Reducing cost further or miniaturizing the system.</t>
  </si>
  <si>
    <t>Millimeter-wave rada rbased sleep posture transition data set SPT</t>
  </si>
  <si>
    <t>Jinjun Liu</t>
  </si>
  <si>
    <t>Millimeter-wave radar</t>
  </si>
  <si>
    <t>Not explicitly mentioned (typically semiconductor-based for radar systems)</t>
  </si>
  <si>
    <t>Texas Instruments IWR6843ISK-ODS</t>
  </si>
  <si>
    <t>Evaluation board (IWR6843ISK-ODS), sensor carrier card (MMWAVEICBOOST), data acquisition board (DCA1000 EVM FPGA)</t>
  </si>
  <si>
    <t>1 transmitting antenna (1T) and 4 receiving antennas (4R)</t>
  </si>
  <si>
    <t>Not applicable (sensor placed 1.5 m above the bed)</t>
  </si>
  <si>
    <t xml:space="preserve"> Frequency-Modulated Continuous Wave (FMCW) radar</t>
  </si>
  <si>
    <t>Mounted on a table 1.5 m above the bed, parallel to the bed surface</t>
  </si>
  <si>
    <t>Raw radar data (.bin files) and processed heatmaps (.png)</t>
  </si>
  <si>
    <t>Not explicitly mentioned, but compatible with smart health monitoring systems</t>
  </si>
  <si>
    <t>Not mentioned</t>
  </si>
  <si>
    <t>Supine to side-lying (SUSI)
Side-lying to supine (SISU)
Supine to prone (SUPR)
Prone to supine (PRSU)
Side-lying to prone (SIPR)
Prone to side-lying (PRSI)
Side-lying to side-lying (SISI)</t>
  </si>
  <si>
    <t>mmWave Studio (control software)</t>
  </si>
  <si>
    <t>Signal processing (DC bias removal, noise reduction, Fast-Time FFT, Slow-Time FFT)</t>
  </si>
  <si>
    <t>Raw data: 81,920 KB per .bin file</t>
  </si>
  <si>
    <t>Total samples: 1,400 (20 volunteers × 7 postures × 10 repetitions)</t>
  </si>
  <si>
    <t xml:space="preserve"> Not provided in the document</t>
  </si>
  <si>
    <t>Ambiguities in posture definitions during transitions.
Need for robust noise reduction due to environmental interference.</t>
  </si>
  <si>
    <t>Integration with smart home products and wearable health devices.
Enhancing real-time sleep assessment technologies.
Expanding dataset diversity (age, health conditions).</t>
  </si>
  <si>
    <t>mm2Sleep Highly generalized dual-person sleep posture recognition using FMCW radar</t>
  </si>
  <si>
    <t>Yicheng Yao</t>
  </si>
  <si>
    <t>Frequency-Modulated Continuous Wave (FMCW) radar</t>
  </si>
  <si>
    <t>Texas Instruments IWR6843ISK</t>
  </si>
  <si>
    <t>Evaluation board (IWR6843ISK), MIMO antenna array</t>
  </si>
  <si>
    <t>3 transmitting antennas (3T) and 4 receiving antennas (4R), forming 12 virtual antennas</t>
  </si>
  <si>
    <t>Not applicable (sensor placed 0.9 m above the bed)</t>
  </si>
  <si>
    <t>Millimeter-wave radar (60–64 GHz)</t>
  </si>
  <si>
    <t>Mounted directly above the center of the bed, tilted downward</t>
  </si>
  <si>
    <t>Radar azimuth heatmaps (processed from raw FMCW signals)</t>
  </si>
  <si>
    <t>Implied (compatible with smart health monitoring systems)</t>
  </si>
  <si>
    <t xml:space="preserve"> Not mentioned</t>
  </si>
  <si>
    <t>Supine
Prone
Left lateral
Right lateral</t>
  </si>
  <si>
    <t>Custom software (mmWave Studio for radar configuration)</t>
  </si>
  <si>
    <t>Dual-channel neural network with position embedding and segmentation modules.
ResNet-based feature extractor and multilayer perceptron (MLP) predictor.
Data augmentation methods (RS, AS, AF, AW, LB-RS, LB-AS).</t>
  </si>
  <si>
    <t>20 subjects (6 females, 14 males).
13 experiments (7 dual-person, 6 single-person).
160 samples per dual-person experiment, 80 per single-person experiment.</t>
  </si>
  <si>
    <t>0.874 (without calibration), 0.912 (with calibration).</t>
  </si>
  <si>
    <t xml:space="preserve"> 83.5% (dual-person, no calibration), 96% (single-person, no calibration).</t>
  </si>
  <si>
    <t>Signal aliasing when two users are close together (F1 score drops to 0.736).
Confusion between supine/prone and left/right lateral postures due to radar resolution limits.</t>
  </si>
  <si>
    <t>Higher-resolution radar sensors (more antennas) to improve performance.
Integration with respiratory signals for complementary data.
Improved region-of-interest separation for close-proximity users.</t>
  </si>
  <si>
    <t>Triaxial accelerometer (embedded in smartphones).</t>
  </si>
  <si>
    <t>Not explicitly mentioned (typically MEMS-based for smartphones).</t>
  </si>
  <si>
    <t>Varied (dependent on participants' Android smartphones).</t>
  </si>
  <si>
    <t>Smartphones (participant-owned devices).</t>
  </si>
  <si>
    <t>1 triaxial accelerometer per smartphone.</t>
  </si>
  <si>
    <t>Not applicable (smartphone placed on the sternum using an elastic band).</t>
  </si>
  <si>
    <t xml:space="preserve"> Accelerometer (measures gravity vector for orientation).</t>
  </si>
  <si>
    <t>Placed on the sternum (chest) during sleep.</t>
  </si>
  <si>
    <t>Triaxial accelerometer data (raw and processed).</t>
  </si>
  <si>
    <t xml:space="preserve"> Implied (data collected via smartphone app and shared online).</t>
  </si>
  <si>
    <t>Not mentioned.</t>
  </si>
  <si>
    <t>Generated by the 'SleepPos' app (polar plots of sleep angle and summary tables).</t>
  </si>
  <si>
    <t>4 (classic) + high-resolution sleep angle (continuous).</t>
  </si>
  <si>
    <t xml:space="preserve"> 'SleepPos' smartphone app (Android).</t>
  </si>
  <si>
    <t>Median filtering (60-second window) for noise reduction.
Sleep angle calculation (orientation relative to gravity vector).
Discretization into 4 postures using predefined thresholds.
New high-resolution index: Mean sleep angle change per hour (continuous measure).</t>
  </si>
  <si>
    <t>Not mentioned (assumed low, as smartphones are used).</t>
  </si>
  <si>
    <t>4 nights per participant (total of 52 nights).
Sampling frequency: 10–62 Hz (resampled to 16 Hz for analysis).</t>
  </si>
  <si>
    <t>13 adolescents (9 males, 4 females, aged 14–16).</t>
  </si>
  <si>
    <t>Validated against video-PSG in prior studies (thresholds optimized for agreement).</t>
  </si>
  <si>
    <t>Variability in smartphone models (different accelerometer specifications).
Discretization thresholds may miss subtle movements (addressed by the sleep angle index).
Limited sample size (13 participants).</t>
  </si>
  <si>
    <t>Longitudinal studies with larger samples and diverse age groups.
Integration with other sleep variables (e.g., breathing patterns, demographics).
Refinement of high-resolution indices for clinical applications (e.g., sleep apnea).</t>
  </si>
  <si>
    <t>Accelerometer (for sleep posture monitoring)
Pulse oximeter (for SpO₂ and heart rate monitoring)</t>
  </si>
  <si>
    <t>MEMS (Microelectromechanical System) for accelerometer</t>
  </si>
  <si>
    <t>Accelerometer: CMA3000 (Murata Electronics Oy)
Pulse oximeter: Contec CMS 50D Plus</t>
  </si>
  <si>
    <t>Chest patch (accelerometer)
Finger clip (pulse oximeter)</t>
  </si>
  <si>
    <t>1 accelerometer (3-axis)
1 pulse oximeter</t>
  </si>
  <si>
    <t>Chest or abdomen (accelerometer)
Finger (pulse oximeter)</t>
  </si>
  <si>
    <t>Accelerometer data (sleep posture)
SpO₂ and heart rate (pulse oximeter)</t>
  </si>
  <si>
    <t>Yes (wireless data transmission via BLE)</t>
  </si>
  <si>
    <t>Haptic (vibration motor in wristband)
Auditory (buzzer in chest patch)</t>
  </si>
  <si>
    <t>Real-time display via MATLAB GUI
Data stored for offline analysis</t>
  </si>
  <si>
    <t>4 (supine, prone, left side, right side)</t>
  </si>
  <si>
    <t>Supine, prone, left side, right side</t>
  </si>
  <si>
    <t>Texas Instruments CC2540 SoC (for accelerometer data collection and transmission)</t>
  </si>
  <si>
    <t>Decision tree classifier (for posture detection)
Apnea event detection algorithm (based on SpO₂ desaturation)</t>
  </si>
  <si>
    <t>127.9 µJ per transmission
Estimated battery life: 219 days with a 3V coin cell battery (225 mAh)</t>
  </si>
  <si>
    <t>Custom dataset collected from healthy subjects</t>
  </si>
  <si>
    <t>Accelerometer sampled at 10 Hz</t>
  </si>
  <si>
    <t>Posture classification: 100% (after smoothing)
Sensitivity and specificity &gt; 99% (instance-based)</t>
  </si>
  <si>
    <t>False positives/negatives during posture transitions
Need for adaptive SpO₂ threshold due to potential baseline changes
Erroneous apnea event detection if pulse oximeter is removed</t>
  </si>
  <si>
    <t>Incorporate chest oscillation data for improved apnea detection
Adjust SpO₂ threshold dynamically based on patient baseline changes
Test system on a larger cohort of patients for validation
Replace data acquisition card with a separate BLE transceiver in the wristband</t>
  </si>
  <si>
    <t>Built-in smartphone microphone (for acoustic monitoring)</t>
  </si>
  <si>
    <t>Not explicitly mentioned (standard smartphone microphone components)</t>
  </si>
  <si>
    <t>Not explicitly mentioned (generic smartphone microphone)</t>
  </si>
  <si>
    <t>1 (microphone)</t>
  </si>
  <si>
    <t>Not applicable (smartphone-based system)</t>
  </si>
  <si>
    <t>Acoustic signal processing</t>
  </si>
  <si>
    <t>Placed on a nightstand near the bed (within 6 feet)</t>
  </si>
  <si>
    <t>Acoustic signals (body movement, snoring, coughing, ambient noise)</t>
  </si>
  <si>
    <t>No (standalone smartphone application)</t>
  </si>
  <si>
    <t>No real-time alerts; provides post-sleep reports and feedback</t>
  </si>
  <si>
    <t>Sleep efficiency, event counts (snoring, coughing, body movement), and long-term sleep quality trends</t>
  </si>
  <si>
    <t>Not applicable (focuses on acoustic events, not postures)</t>
  </si>
  <si>
    <t>Not applicable</t>
  </si>
  <si>
    <t>Smartphone (Android)</t>
  </si>
  <si>
    <t>Decision-tree-based classifier for event detection
Adaptive noise modeling
Mathematical morphology for filtering misclassifications</t>
  </si>
  <si>
    <t>~4% battery per hour (excluding system consumption)</t>
  </si>
  <si>
    <t>Custom dataset from 7 subjects (51 nights of sleep)
Real-world data from iSleep app users</t>
  </si>
  <si>
    <t>Acoustic data sampled at 16 kHz</t>
  </si>
  <si>
    <t>90% for event classification (body movement, snoring, coughing)
91.9% frame detection accuracy (FDA) for body movement
96.7% event detection accuracy (EDA) for snoring</t>
  </si>
  <si>
    <t xml:space="preserve">Not explicitly mentioned
</t>
  </si>
  <si>
    <t>Low sensitivity of smartphone microphones
Diverse acoustic profiles across users and environments
Privacy concerns (raw audio not stored or transmitted)
High energy consumption due to continuous microphone sampling</t>
  </si>
  <si>
    <t>Adaptive sampling to reduce energy consumption
Integration with environmental monitoring tools (e.g., room temperature)
Improved noise robustness and event detection algorithms
Clinical validation for broader adoption</t>
  </si>
  <si>
    <t>RGB camera (vision-based)</t>
  </si>
  <si>
    <t>Not explicitly mentioned (standard camera components)</t>
  </si>
  <si>
    <t>Not explicitly mentioned (generic RGB camera with 1.3 million pixels)</t>
  </si>
  <si>
    <t>Fixed beside the bed</t>
  </si>
  <si>
    <t>1 (RGB camera)</t>
  </si>
  <si>
    <t>Not applicable (camera-based system)</t>
  </si>
  <si>
    <t>Computer vision, deep learning (OpenPose for keypoint estimation)</t>
  </si>
  <si>
    <t>Beside the bed, within field of view of the sleeping subject</t>
  </si>
  <si>
    <t>Video frames (25 fps) of sleeping subjects</t>
  </si>
  <si>
    <t>No (standalone system, though control signals can be sent to HVAC systems)</t>
  </si>
  <si>
    <t>No real-time alerts; provides thermal comfort feedback for HVAC control</t>
  </si>
  <si>
    <t>Thermal comfort levels (comfortable, cold, warm) based on sleep postures and quilt coverage</t>
  </si>
  <si>
    <t>10 (defined based on thermal comfort)</t>
  </si>
  <si>
    <t>Stretched, quilt below neck, arms inside
Stretched, quilt below neck, arms outside
Stretched, quilt covers abdomen and below
Stretched, quilt covers only abdomen
Stretched, no quilt
Curled, no quilt
Curled, quilt below neck, arms inside
Curled, quilt below neck, arms outside
Curled, quilt covers abdomen and below
Curled, quilt covers only abdomen</t>
  </si>
  <si>
    <t>Computer server (GPU: NVIDIA GeForce GTX 1080TI/2080TI; CPU: Intel Xeon E5-2687W v3)</t>
  </si>
  <si>
    <t>OpenPose for skeleton keypoint detection
Angle and distance models for posture classification
Quilt coverage estimation via image binarization
Decision model for thermal comfort level</t>
  </si>
  <si>
    <t xml:space="preserve">Not explicitly mentioned (focused on algorithm performance)
</t>
  </si>
  <si>
    <t>2.65 million frames of sleep posture data from 18 male subjects
438 valid questionnaire responses</t>
  </si>
  <si>
    <t>2.65 million frames</t>
  </si>
  <si>
    <t>91.15% (average for posture and thermal comfort detection)</t>
  </si>
  <si>
    <t>Privacy concerns (addressed by not storing identifiable data)
Inaccuracies in early posture recognition or large quilt coverage
Individual variability in thermal comfort perception</t>
  </si>
  <si>
    <t>Integration with elder care systems
Enhanced deep learning models for improved accuracy
Real-time physiological parameter detection for health monitoring
Adaptive HVAC control based on thermal comfort</t>
  </si>
  <si>
    <t>Single-layer textile-based piezoresistive pressure sensor</t>
  </si>
  <si>
    <t>Stainless steel (SS) thread, copper polyester taffeta fabric, graphene nanoplatelets (GNP)-coated cotton fabric and thread</t>
  </si>
  <si>
    <t>Custom-developed (four variants: S1, S2, S3, S4)</t>
  </si>
  <si>
    <t>Clothing (e.g., trousers, shirts, knee pads)</t>
  </si>
  <si>
    <t>Multiple (depends on application; e.g., 2 sensors for posture monitoring)</t>
  </si>
  <si>
    <t>Small size: 
2.5
×
2.5
cm
2
2.5×2.5cm 
2</t>
  </si>
  <si>
    <t>Piezoresistive sensing (change in electrical resistance due to pressure)</t>
  </si>
  <si>
    <t>Embedded in garments (e.g., hip bones, shoulder blades)</t>
  </si>
  <si>
    <t>Pressure applied to the sensor (e.g., body weight during posture changes)</t>
  </si>
  <si>
    <t>Potential for integration (wireless signal transmission mentioned)</t>
  </si>
  <si>
    <t>Haptic alerts or wireless notifications for posture correction</t>
  </si>
  <si>
    <t>Real-time pressure/resistance changes for posture monitoring</t>
  </si>
  <si>
    <t>Tested for 3 sleeping postures (left, straight, right) and 6 sitting postures</t>
  </si>
  <si>
    <t>Sleeping: Left, straight, right
Sitting: Right drop with backrest (RDwB) 30°, RDwB 15°, upright with backrest (UwB), upright without backrest (UwoB), left drop with backrest (LDwB) 15°, LDwB 30°</t>
  </si>
  <si>
    <t>Not explicitly mentioned (implied microcontroller or wearable device for signal processing)</t>
  </si>
  <si>
    <t>Resistance measurement and threshold-based posture classification</t>
  </si>
  <si>
    <t>Not explicitly mentioned (low-power due to resistive sensing)</t>
  </si>
  <si>
    <t>Custom dataset from human subject tests (e.g., 3280 steps for cyclic loading)</t>
  </si>
  <si>
    <t>Not explicitly quantified (focused on real-time monitoring)</t>
  </si>
  <si>
    <t>High sensitivity and durability (no fatigue after 3280 cycles)</t>
  </si>
  <si>
    <t>Complex multilayer designs in existing sensors
Motion artifacts in wearable applications
Ensuring durability under repeated mechanical deformations</t>
  </si>
  <si>
    <t>Scalable fabrication for mass production
Integration with wireless systems for real-time health monitoring
Expansion to other wearable applications (e.g., sports, elderly care)</t>
  </si>
  <si>
    <t>Force-sensing resistors (FSR)</t>
  </si>
  <si>
    <t>Velostat (flexible material with volume resistivity up to 500 Ω·cm and surface resistivity up to 31,000 Ω)</t>
  </si>
  <si>
    <t>Not explicitly mentioned, but the sensors are based on Velostat.</t>
  </si>
  <si>
    <t>Five-layer smart mat (protective layer, conductive layers, sensor layer)</t>
  </si>
  <si>
    <t>1024 (32 × 32 pressure sensor array)</t>
  </si>
  <si>
    <t>55 cm × 55 cm (0.30 m²)</t>
  </si>
  <si>
    <t>Resistive pressure sensing (resistance decreases with increasing pressure)</t>
  </si>
  <si>
    <t>Covers major regions like the chest, part of the shoulders, and part of the hips</t>
  </si>
  <si>
    <t>Pressure distribution converted into voltage signals</t>
  </si>
  <si>
    <t>Data sent to a PC for analysis via STM32 module (UART, microSD card slot, 12-bit ADC)</t>
  </si>
  <si>
    <t>4 (supine, prone, right, left)</t>
  </si>
  <si>
    <t>Supine, prone, right-side lying, left-side lying</t>
  </si>
  <si>
    <t>STM32 module (controls data acquisition and transmission)</t>
  </si>
  <si>
    <t>Pre-processing (threshold filtering, Gaussian filter, adjacent affected noise removal)
Deep Residual Networks (ResNet-18) for classification</t>
  </si>
  <si>
    <t>Short-term experiment: 16 subjects (9 males, 7 females), 1056 samples
Overnight experiment: 5 subjects, 20,521 samples</t>
  </si>
  <si>
    <t>Processed into 160 × 160 grayscale images</t>
  </si>
  <si>
    <t>Supine: 94.85%
Right: 95.88%
Left: 93.00%
Prone: 96.54%</t>
  </si>
  <si>
    <t>Short-term experiment: 95.08%
Overnight experiment: 86.35%</t>
  </si>
  <si>
    <t>Supine: 93.82%
Right: 95.17%
Left: 97.95%
Prone: 94.36%</t>
  </si>
  <si>
    <t>Distinguishing between supine and prone postures due to similar pressure distribution
Reducing computational complexity and production costs while maintaining accuracy
Ensuring robustness in real-world scenarios (e.g., body movement, temperature changes)</t>
  </si>
  <si>
    <t>Increasing mat length for double beds to ensure coverage of major body regions
Integrating respiration rate monitoring to enrich functionality
Exploring additional sensor data (e.g., body movements) for comprehensive sleep evaluation
Enhancing real-time monitoring capabilities on low-power embedded platforms</t>
  </si>
  <si>
    <t>Force-sensor resistor (FSR)</t>
  </si>
  <si>
    <t>Not explicitly mentioned, but FSR sensors are typically made of polymer thick film.</t>
  </si>
  <si>
    <t>i-Sleep sensor (custom-designed)</t>
  </si>
  <si>
    <t>Two foam plates placed under the mattress</t>
  </si>
  <si>
    <t>118 cm (width) x 86 cm (height)</t>
  </si>
  <si>
    <t>Under the mattress</t>
  </si>
  <si>
    <t>Pressure data from sleep postures</t>
  </si>
  <si>
    <t>Yes, uses ESP32 microcontroller with Wi-Fi for data transmission to the cloud</t>
  </si>
  <si>
    <t>Web application displays real-time sleep posture and sleep quality index (SQI)</t>
  </si>
  <si>
    <t xml:space="preserve">Lying supine, lying left, lying right, sitting on bed, changing posture, getting out of bed
</t>
  </si>
  <si>
    <t>ESP32 microcontroller</t>
  </si>
  <si>
    <t>K-Nearest Neighbors (KNN), also tested Gaussian Naive Bayes, Bernoulli Naive Bayes, Multi-Layer Perceptron (MLP), Support Vector Machine (SVM), Logistic Regression, Random Forest</t>
  </si>
  <si>
    <t>Collected from 30 volunteers (15 males, 15 females)</t>
  </si>
  <si>
    <t>1983 sleep posture records</t>
  </si>
  <si>
    <t>86.7% (KNN with normalized data on unseen data)</t>
  </si>
  <si>
    <t>Privacy concerns (for camera-based alternatives), sensor quality issues (missing data), wide range of raw data affecting accuracy</t>
  </si>
  <si>
    <t>Reduce number of sensors, explore modern techniques like Convolutional Neural Networks (CNN) or deep learning for classification.</t>
  </si>
  <si>
    <t>3-axis accelerometer</t>
  </si>
  <si>
    <t>Not explicitly mentioned (typically MEMS-based for Shimmer3 devices)</t>
  </si>
  <si>
    <t>Shimmer3</t>
  </si>
  <si>
    <t>Wearable devices (placed on ankles and chest)</t>
  </si>
  <si>
    <t>3 (one on each ankle and one on the chest)</t>
  </si>
  <si>
    <t>Not applicable (wearable system, no mat used)</t>
  </si>
  <si>
    <t>Accelerometer-based motion sensing</t>
  </si>
  <si>
    <t>Chest and ankles</t>
  </si>
  <si>
    <t>Acceleration data from sleep postures</t>
  </si>
  <si>
    <t>Not explicitly mentioned, but data is collected and processed for analysis</t>
  </si>
  <si>
    <t>Provides sleep position classification and potential sleep quality insights</t>
  </si>
  <si>
    <t>8 (extended granularity, including sub-positions)</t>
  </si>
  <si>
    <t>Supine (S), Supine with left leg bent (S&lt;sub&gt;LLB&lt;/sub&gt;), Supine with right leg bent (S&lt;sub&gt;RLB&lt;/sub&gt;), Right lateral legs together (R&lt;sub&gt;LT&lt;/sub&gt;), Right lateral left leg bent (R&lt;sub&gt;LLB&lt;/sub&gt;), Left lateral legs together (L&lt;sub&gt;LT&lt;/sub&gt;), Left lateral right leg bent (L&lt;sub&gt;RLB&lt;/sub&gt;), Prone (P)</t>
  </si>
  <si>
    <t>Not explicitly mentioned (Shimmer3 devices handle data collection)</t>
  </si>
  <si>
    <t>Generalized Matrix Learning Vector Quantization (GMLVQ)</t>
  </si>
  <si>
    <t>Investigated through reduced sampling rates (e.g., 6Hz) and fewer sensors/features</t>
  </si>
  <si>
    <t>Collected from 6 healthy participants (4 males, 2 females) in simulated and real-world settings</t>
  </si>
  <si>
    <t>Not explicitly quantified, but includes 10 postures per cycle over 9 cycles per participant</t>
  </si>
  <si>
    <t>Individual models: 99.8%
General model: 83.62% (8 postures), 98.31% (6 postures)
Real-world application: ~98%</t>
  </si>
  <si>
    <t xml:space="preserve"> Not explicitly mentioned</t>
  </si>
  <si>
    <t>Difficulty distinguishing between lateral sub-positions (e.g., R&lt;sub&gt;LT&lt;/sub&gt; vs. R&lt;sub&gt;LLB&lt;/sub&gt;)
General model performs worse than individual models
Real-world data variability not fully captured in simulations</t>
  </si>
  <si>
    <t>Integrate sleep position recognition into sleep quality assessment
Extend tracked positions (e.g., include foot position via numerical integration)
Address errors from numerical integration for finer granularity
Explore dynamic sampling rates for energy efficiency</t>
  </si>
  <si>
    <t>60 GHz Frequency-modulated Continuous Wave (FMCW) radar</t>
  </si>
  <si>
    <t>Not explicitly mentioned (typically semiconductor-based for radar chipsets)</t>
  </si>
  <si>
    <t>XENSIV™ BGT60TR13C radar chipset (Infineon Technologies)</t>
  </si>
  <si>
    <t>Not embedded (external radar device)</t>
  </si>
  <si>
    <t>1 (single radar unit)</t>
  </si>
  <si>
    <t xml:space="preserve">Not applicable (radar-based, no mat used)
</t>
  </si>
  <si>
    <t>Radar point cloud processing (5D: x, y, z, intensity, Doppler velocity)</t>
  </si>
  <si>
    <t>Positioned near the bed (exact placement not specified)</t>
  </si>
  <si>
    <t>Radar-reflected signals from sleep postures</t>
  </si>
  <si>
    <t>Implied (data processed for real-time monitoring)</t>
  </si>
  <si>
    <t>Sleep posture classification and potential health insights</t>
  </si>
  <si>
    <t>Supine, prone, side (chest facing radar), side (back facing radar)</t>
  </si>
  <si>
    <t>Not explicitly mentioned (radar chipset handles data acquisition)</t>
  </si>
  <si>
    <t>SincNet: Binary classification (static vs. moving)
PointNet++: Sleep posture classification from 5D point clouds</t>
  </si>
  <si>
    <t>Not explicitly mentioned (implied low power due to radar efficiency)</t>
  </si>
  <si>
    <t>32 subjects, 1,512,000 frames (21 hours of recordings)</t>
  </si>
  <si>
    <t>1,512,000 frames (20 fps)</t>
  </si>
  <si>
    <t>97.34% (PointNet++)</t>
  </si>
  <si>
    <t>SincNet: 97.79% (moving), 96.65% (static)
PointNet++: 98.43% (supine), 98.01% (side-chest), 97.22% (prone), 95.72% (side-back)</t>
  </si>
  <si>
    <t>97.36% (PointNet++)</t>
  </si>
  <si>
    <t>97% (both models)</t>
  </si>
  <si>
    <t>Limited to four postures (no granular sub-positions)
Requires fine-tuning for real-world environments (e.g., sleep clinics)</t>
  </si>
  <si>
    <t>Expand dataset heterogeneity (real-world environments)
Integrate radar-based breathing rate estimation and apnea detection
Add auxiliary sensors (e.g., for snoring/coughing detection)</t>
  </si>
  <si>
    <t>MEMS triaxial accelerometer and pressure sensor array</t>
  </si>
  <si>
    <t>Polyethylene Terephthalate (PET) film, Flexible Printed Circuit (FPC)</t>
  </si>
  <si>
    <t>ISM330DLC (MEMS IMU by STMicroelectronics)</t>
  </si>
  <si>
    <t>Flexible sleep monitoring belt (placed under mattress/bed sheet)</t>
  </si>
  <si>
    <t>Not explicitly stated (pressure sensor array + 1 IMU)</t>
  </si>
  <si>
    <t>Belt thickness: 1.5 mm</t>
  </si>
  <si>
    <t>Pressure sensing and inertial motion detection</t>
  </si>
  <si>
    <t>Under the chest area of the user (on mattress)</t>
  </si>
  <si>
    <t>Triaxial accelerations, angular velocities, and pressure signals</t>
  </si>
  <si>
    <t>Sleep posture classification and vital sign insights</t>
  </si>
  <si>
    <t>Supine, right latericumbent, left latericumbent, prone</t>
  </si>
  <si>
    <t>ARM processor (STMicroelectronics)</t>
  </si>
  <si>
    <t>Feature Extraction: Wavelet Packet Transform (WPT), Fast Fourier Transform (FFT)
Classification: Decision Tree (DT), Random Forest (RF), SVM, XGBoost, AdaBoost
Feature Selection: Recursive Feature Elimination with Cross-Validation (RFECV)</t>
  </si>
  <si>
    <t>Not explicitly mentioned (implied low power due to wearable/non-intrusive design)</t>
  </si>
  <si>
    <t>15 subjects (5 females, 10 males)</t>
  </si>
  <si>
    <t>10,800 samples (60 minutes per subject, 15-minute segments per posture)</t>
  </si>
  <si>
    <t>92.12% (RF after RFECV)</t>
  </si>
  <si>
    <t>96.02% (RF after RFECV)</t>
  </si>
  <si>
    <t>92.06% (RF after RFECV)</t>
  </si>
  <si>
    <t>92.07% (RF after RFECV)</t>
  </si>
  <si>
    <t>Small sample size (15 subjects) with age/gender imbalance
Limited to 4 postures (no granular sub-positions)
Generalization to elderly populations untested</t>
  </si>
  <si>
    <t>Expand dataset with more subjects (balanced age/gender)
Detect additional sleep postures
Validate in real-world environments (e.g., sleep clinics)</t>
  </si>
  <si>
    <t>Piezoelectric ceramic sensors</t>
  </si>
  <si>
    <t>Piezoelectric ceramic</t>
  </si>
  <si>
    <t>58 cm × 28 cm</t>
  </si>
  <si>
    <t>Piezoelectric effect</t>
  </si>
  <si>
    <t>Chest area</t>
  </si>
  <si>
    <t>Pressure signals from cardiorespiratory activities</t>
  </si>
  <si>
    <t>Not explicitly mentioned, but wireless communication circuit is used</t>
  </si>
  <si>
    <t>3 (Supine, Right Lateral, Left Lateral)</t>
  </si>
  <si>
    <t>Supine, Right Lateral, Left Lateral</t>
  </si>
  <si>
    <t>Sparse Sensor-Based Spatiotemporal CNN (S³CNN)</t>
  </si>
  <si>
    <t>Collected from 22 subjects (15 males, 7 females) with varying degrees of OSA</t>
  </si>
  <si>
    <t>8583 minutes of sleep data</t>
  </si>
  <si>
    <t>Limited dataset (22 subjects)
Prone posture data scarcity
Motion artifacts in real-world scenarios
Lack of exploration of sequential sleep posture correlations</t>
  </si>
  <si>
    <t>Incorporate additional laboratory data to enrich the dataset, especially for prone postures.
Enhance models to capture temporal dynamics and inter-sample temporal features.
Improve continuous long-term monitoring capabilities.</t>
  </si>
  <si>
    <t xml:space="preserve"> E-textile pressure sensors</t>
  </si>
  <si>
    <t>E-textile (conductive fabric)</t>
  </si>
  <si>
    <t>Bed sheet</t>
  </si>
  <si>
    <t>8192 (64 × 128 array)</t>
  </si>
  <si>
    <t>2.5 m × 1.25 m</t>
  </si>
  <si>
    <t>Piezoresistive (resistance changes with pressure)</t>
  </si>
  <si>
    <t>Full-body coverage on bed sheet</t>
  </si>
  <si>
    <t>Pressure distribution from body contact</t>
  </si>
  <si>
    <t>Yes (data transmitted to an Android tablet for analysis)</t>
  </si>
  <si>
    <t>Detects apnea (respiratory cessation) and triggers state changes</t>
  </si>
  <si>
    <t>CSV files for post-analysis (pressure matrices and annotated logs)</t>
  </si>
  <si>
    <t>Supine, Prone, Side</t>
  </si>
  <si>
    <t>Not specified (likely an embedded system for matrix scanning)</t>
  </si>
  <si>
    <t>Geometric feature-based sleep posture detection
Peak detection for respiratory rate calculation
First-order derivative for sensor drift compensation</t>
  </si>
  <si>
    <t>14 subjects (12 males, 2 females, aged 20–30)</t>
  </si>
  <si>
    <t>6+ minutes per subject (2 minutes per posture × 3 postures)</t>
  </si>
  <si>
    <t>Not explicitly stated</t>
  </si>
  <si>
    <t>High (qualitative results; supine/prone postures yield reliable signals)</t>
  </si>
  <si>
    <t>Not calculated</t>
  </si>
  <si>
    <t>Sensor drift in e-textile materials
Motion artifacts during posture changes
Reduced signal quality in side postures
Soft mattresses absorb pressure, reducing accuracy</t>
  </si>
  <si>
    <t>Improve robustness for moving subjects and side postures
Optimize hardware for soft mattresses
Expand testing to diverse populations (ages, weights)</t>
  </si>
  <si>
    <t>Camera-based (contactless monitoring)</t>
  </si>
  <si>
    <t>Not applicable (camera-based)</t>
  </si>
  <si>
    <t>Not applicable (uses cameras)</t>
  </si>
  <si>
    <t xml:space="preserve"> Not applicable</t>
  </si>
  <si>
    <t>RGB and night-vision cameras</t>
  </si>
  <si>
    <t>Not embedded (external camera setup)</t>
  </si>
  <si>
    <t>Day and night-vision infant sleep images</t>
  </si>
  <si>
    <t>Yes (edge-compatible AI for smart buildings)</t>
  </si>
  <si>
    <t>Yes (warnings sent to parents for unsafe sleep postures)</t>
  </si>
  <si>
    <t xml:space="preserve">Binary classification (safe vs. unsafe, e.g., back vs. stomach/side)
</t>
  </si>
  <si>
    <t>Focused on back (safe) vs. non-back (unsafe) positions</t>
  </si>
  <si>
    <t>Edge devices (microcontrollers, Raspberry Pi)</t>
  </si>
  <si>
    <t>Primary: Custom CNN with post-training weight quantization
Comparison Models: ResNet, DenseNet-121, Inception-v3
Key Technique: 8-bit integer quantization (reduces memory footprint by 89%)</t>
  </si>
  <si>
    <t>Not explicitly mentioned (optimized for low-power edge devices)</t>
  </si>
  <si>
    <t>Size: 10,240 samples (day and night-vision images)
Split: 70% training, 20% validation, 10% testing</t>
  </si>
  <si>
    <t>6.4 MB (quantized model) vs. 58.2–275 MB (baselines)</t>
  </si>
  <si>
    <t>Not explicitly stated (focus on accuracy and memory efficiency)</t>
  </si>
  <si>
    <t>~90% (comparable to state-of-the-art)</t>
  </si>
  <si>
    <t>Lower false-negative rate (11%) than baselines (≥13%)</t>
  </si>
  <si>
    <t>Limited diversity in existing infant sleep datasets (mostly daytime images).
High memory demands of traditional AI models for edge deployment.
Slight accuracy drop due to weight quantization.</t>
  </si>
  <si>
    <t>Memory Efficiency: 9× reduction in memory footprint (6.4 MB vs. 58.2+ MB) via 8-bit quantization.
Dataset: First hybrid day/night-vision infant sleep dataset (10,240 samples).
Edge Compatibility: Designed for Raspberry Pi/microcontrollers, enabling scalable smart-building integration.</t>
  </si>
  <si>
    <t>In-ear microphone</t>
  </si>
  <si>
    <t>Soft silicone material (for earbuds)</t>
  </si>
  <si>
    <t>Boya dual-channel recording interface (used for connecting earbuds to a workstation)</t>
  </si>
  <si>
    <t>Commercial sleep earbuds</t>
  </si>
  <si>
    <t>1 (single in-ear acoustic modality)</t>
  </si>
  <si>
    <t>Acoustic sensing (body-conducted vibrations captured via in-ear microphones)</t>
  </si>
  <si>
    <t>Ear canal (in-ear placement)</t>
  </si>
  <si>
    <t>In-ear body sounds (induced by physical and physiological activities during sleep)</t>
  </si>
  <si>
    <t>Not explicitly mentioned, but the system is designed for ubiquitous sleep monitoring.</t>
  </si>
  <si>
    <t>Not explicitly mentioned, but the system provides sleep stage detection and activity recognition.</t>
  </si>
  <si>
    <t>Not explicitly mentioned, but sleep postures (e.g., supine, prone) are discussed as a future work.</t>
  </si>
  <si>
    <t>Supine, prone, right lateral, left lateral (mentioned as potential future work for detection).</t>
  </si>
  <si>
    <t>Lenovo Work Station (used for processing raw audio signals).</t>
  </si>
  <si>
    <t>Dual-stream processing framework:
Physical activity recognition: Adaptive segmentation, event type classification, body movement recognition, sound activity recognition.
Physiological activity estimation: Variational Mode Decomposition (VMD), Savitzky-Golay filter, heartbeat and breathing waveform extraction.
Sleep stage detection: BiLSTM-based model with attention mechanism.</t>
  </si>
  <si>
    <t>48 nights of sleep data from 18 participants (12 males, 6 females, aged 21–32).</t>
  </si>
  <si>
    <t>243.9 GB of sleep audio data.</t>
  </si>
  <si>
    <t>Sleep stage detection: 71.49% (average).
Body movement recognition: 88.09% (average for Participant C).
Sound activity recognition: 97.05% (snoring), 89.28% (somniloquy).</t>
  </si>
  <si>
    <t>Heartbeat rate estimation: Mean absolute error of 1.61 bpm.
Breathing rate estimation: Mean absolute error of 1.21 bpm.</t>
  </si>
  <si>
    <t>Sleep stage detection: 67.76% (average).
Body movement recognition: 88.74% (average for Participant C).
Sound activity recognition: 94.99% (snoring), 91.30% (somniloquy).</t>
  </si>
  <si>
    <t>Sleep stage detection: 69.52% (average).
Sound activity recognition: 96.01% (snoring), 90.28% (somniloquy).</t>
  </si>
  <si>
    <t>Recognizing diverse sleep events with a single modality (in-ear sounds).
Motion artifacts in physiological activity estimation.
Establishing correlation between sleep events and stages.
Individual differences in body movement recognition.
Privacy concerns with long-term audio signal processing.</t>
  </si>
  <si>
    <t>Sleep posture detection using in-ear heartbeat sounds.
Multi-person scenarios (e.g., shared beds).
Deep learning for noise removal during sleep music playback.
Expanding age and health diversity in participant groups.
Improving privacy protection by reducing high-frequency signal retention.</t>
  </si>
  <si>
    <t>Flexible pressure sensor array</t>
  </si>
  <si>
    <t>Intelligent mattress</t>
  </si>
  <si>
    <t>2048 (64 rows × 32 columns)</t>
  </si>
  <si>
    <t>180 cm × 80 cm</t>
  </si>
  <si>
    <t>Mechanical pressure sensors</t>
  </si>
  <si>
    <t>Embedded in the mattress, arranged in a grid pattern.</t>
  </si>
  <si>
    <t>Pressure distribution data from sleep postures.</t>
  </si>
  <si>
    <t>Uses UDP protocol for communication between the main control board and PC.</t>
  </si>
  <si>
    <t>Not explicitly mentioned, but the system is designed for pressure ulcer prevention and drop warning.</t>
  </si>
  <si>
    <t>Real-time pressure distribution display on PC.</t>
  </si>
  <si>
    <t>Sitting, right trunk type, right fetal type, supine, left trunk type, left fetal type, prone.</t>
  </si>
  <si>
    <t>STM32F407VET6 microcontroller</t>
  </si>
  <si>
    <t>Deep Residual Network (ResNet-18)</t>
  </si>
  <si>
    <t>SLEEP POS dataset, collected from 100 healthy researchers (P01 to P100), with 7 postures per person (~28 frames per person, totaling 2800 frames).</t>
  </si>
  <si>
    <t>Each frame is a 64 × 32 matrix, interpolated to 64 × 64 pixels for input.</t>
  </si>
  <si>
    <t>Not explicitly mentioned, but overall accuracy is high (98-99%).</t>
  </si>
  <si>
    <t>99.02% (highest among compared methods).</t>
  </si>
  <si>
    <t>Lightweight individuals may have less pronounced pressure features, leading to misclassification (e.g., left trunk type confused with prone).
Sensor noise and data integrity issues due to UDP protocol.</t>
  </si>
  <si>
    <t>Integration with other sensors (e.g., respiration, heart rate) for comprehensive sleep assessment.
Drop warning training and pressure ulcer research.</t>
  </si>
  <si>
    <t>Wrist-worn accelerometer</t>
  </si>
  <si>
    <t>Not explicitly mentioned, but part of the Empatica E4 wristband.</t>
  </si>
  <si>
    <t>Empatica E4 wristband</t>
  </si>
  <si>
    <t>Wristband (worn on the non-dominant wrist).</t>
  </si>
  <si>
    <t>1 (3-axis accelerometer).</t>
  </si>
  <si>
    <t>Not applicable (wearable device, not mattress-based)</t>
  </si>
  <si>
    <t>3-axis accelerometer (range: 
[
−
2
,
2
]
×
g
n
[−2,2]×g 
n
​
 , 8-bit resolution, 32 Hz sampling frequency).</t>
  </si>
  <si>
    <t>Non-dominant wrist (button on the thumb side).</t>
  </si>
  <si>
    <t>Accelerometry signals from wrist movements during sleep.</t>
  </si>
  <si>
    <t>Not explicitly mentioned, but data is collected for ambulatory monitoring.</t>
  </si>
  <si>
    <t>Not explicitly mentioned, but the system is designed for clinical follow-up.</t>
  </si>
  <si>
    <t>Real-time posture classification and turn detection (future work includes automated detection).</t>
  </si>
  <si>
    <t>Prone, supine, left lateral, right lateral.</t>
  </si>
  <si>
    <t>Not explicitly mentioned, but the Empatica E4 wristband includes onboard processing.</t>
  </si>
  <si>
    <t>Random Forest (RF), k-Nearest Neighbors (KNN), and Support Vector Machine (SVM).
Subject-wise training and turn detection/removal are key innovations.</t>
  </si>
  <si>
    <t>Not explicitly mentioned, but accelerometers are low-power.</t>
  </si>
  <si>
    <t>Proprietary dataset from 13 individuals (7 women, 6 men, average age 32.1 ± 14.6 years).
Data collected during controlled experiments with labeled postures and turns.</t>
  </si>
  <si>
    <t>5-second windows with 4-second overlap (1-second resolution).
42 features initially, reduced to 16 after correlation-based selection.</t>
  </si>
  <si>
    <t>Not explicitly mentioned, but F1-scores are provided.</t>
  </si>
  <si>
    <t>Not explicitly mentioned, but F1-scores are:
RF: 0.966
KNN: 0.989
SVM: 0.623</t>
  </si>
  <si>
    <t>Turn detection recall: 0.258 (left turns), 0.777 (right turns).</t>
  </si>
  <si>
    <t>RF: 0.966, KNN: 0.989 (highest among compared methods).</t>
  </si>
  <si>
    <t>Poor reproducibility of state-of-the-art models on new subjects.
Noise from torso turns and sudden movements degrades classification.
Low recall for turn detection (especially left turns).</t>
  </si>
  <si>
    <t>Automated turn detection to pause posture classification during movements.
Integration with other clinical metrics (e.g., sleep quality, disorders).
Expansion to real-life scenarios with more subjects and longer monitoring.</t>
  </si>
  <si>
    <t>FMCW (Frequency-Modulated Continuous Wave) radar</t>
  </si>
  <si>
    <t>Not explicitly mentioned, but part of the IWR6843ISK-AOP board by Texas Instruments.</t>
  </si>
  <si>
    <t>IWR6843ISK-AOP (Texas Instruments) with DCA1000EVM data-capture adapter.</t>
  </si>
  <si>
    <t>Single radar device (positioned at the head of the bed).</t>
  </si>
  <si>
    <t>1 (with 12 virtual antennas).</t>
  </si>
  <si>
    <t>Not applicable (radar-based, not mattress-based).</t>
  </si>
  <si>
    <t>FMCW radar (range resolution: 0.04m, integrates transmitting/receiving antennas on a single PCB).</t>
  </si>
  <si>
    <t>Head of the bed, 1.35 meters away from the mattress, tilted at 53 degrees.</t>
  </si>
  <si>
    <t>Radar signals processed into Range-Time (RT), Doppler-Time (DT), Azimuth-Time (AT), and Elevation-Time (ET) maps.</t>
  </si>
  <si>
    <t>Data processed on a PC with cloud integration potential (future work).</t>
  </si>
  <si>
    <t>Not explicitly mentioned, but real-time monitoring is feasible with the DL-based method.</t>
  </si>
  <si>
    <t>Posture classification results (supine, prone, left, right) with high accuracy.</t>
  </si>
  <si>
    <t>Supine, prone, left lateral, right lateral.</t>
  </si>
  <si>
    <t>PC (Intel Core i7-12700 CPU, NVIDIA RTX 3060 GPU, 32GB RAM) running custom Python programs.</t>
  </si>
  <si>
    <t>Logic-based method: Uses weighted maps (WR-DT, WR-AT, WR-ET) for posture classification.
Deep Learning (CNN): 2 convolutional layers, 2 max pooling layers, dropout, and dense layers.</t>
  </si>
  <si>
    <t>FMCW radar operates with lower energy requirements compared to pulse radar.</t>
  </si>
  <si>
    <t>Proprietary dataset from 10 subjects (9 male, 1 female).
Data collected in controlled experiments (1-minute intervals per posture).</t>
  </si>
  <si>
    <t>Input matrix for CNN: 50×243 (31 Doppler + 70 Range + 71 Azimuth + 71 Elevation features).</t>
  </si>
  <si>
    <t>Not explicitly mentioned, but confusion matrices show high classification precision.</t>
  </si>
  <si>
    <t>Logic-based:
98.11% (3-category: supine, prone, side).
94.79% (4-category: supine, prone, left, right).
CNN-based: 93.25% (4-category, 5-fold CV).</t>
  </si>
  <si>
    <t>Supine posture: 100% (logic-based).
Prone posture: Lower recall due to misclassification as supine (especially for higher body mass subjects).</t>
  </si>
  <si>
    <t>Not explicitly mentioned, but high accuracy suggests strong F1 scores.</t>
  </si>
  <si>
    <t>Difficulty distinguishing left vs. right lateral postures (logic-based method).
Body mass interference: Higher mass subjects’ prone postures misclassified as supine.
Single-subject limitation: Cannot monitor multiple subjects simultaneously.</t>
  </si>
  <si>
    <t>Multi-subject monitoring: Extend to scenarios with multiple sleepers.
Improved lateral posture classification: Enhance logic or DL models for left/right distinction.
GUI development: Create a user-friendly interface for clinical/personal use.
Cloud integration: Enable remote monitoring and data storage.</t>
  </si>
  <si>
    <t>Resistive Sensor Array (RSA)</t>
  </si>
  <si>
    <t>Velostat® piezoresistive elements</t>
  </si>
  <si>
    <t>Linear taxel model (gain and offset matrices)</t>
  </si>
  <si>
    <t>Polyurethane foam mattress</t>
  </si>
  <si>
    <t>330 (30 × 11 array)</t>
  </si>
  <si>
    <t>Not explicitly stated, but the array is 30 × 11 taxels.</t>
  </si>
  <si>
    <t>Piezoresistive pressure sensors</t>
  </si>
  <si>
    <t>Core of the foam mattress</t>
  </si>
  <si>
    <t>Pressure/force applied to the mattress</t>
  </si>
  <si>
    <t>Yes (implied by smart mattress application)</t>
  </si>
  <si>
    <t>Supine, lateral right, lateral left, prone</t>
  </si>
  <si>
    <t>Linear Support Vector Machine (SVM), K-Nearest Neighbors (KNN)</t>
  </si>
  <si>
    <t>1280 pressure images from individuals (60–110 kg)</t>
  </si>
  <si>
    <t>1280 pressure images</t>
  </si>
  <si>
    <t>96.48% (SVM), 96.80% (KNN) after calibration</t>
  </si>
  <si>
    <t>True Positive Rate (TPR) reported as accuracy</t>
  </si>
  <si>
    <t>Thermal and temporal instability of Velostat®
Non-uniformity in sensor gain and offset
Mechanical crosstalk
Degradation under stress (U-shaped sensitivity pattern)</t>
  </si>
  <si>
    <t>Temperature compensation model
Automated data collection for larger calibration datasets
Polynomial or convolutional taxel models
Regular calibration intervals (twice a year)
Monitoring from initial installation
Maintenance strategy for reliability</t>
  </si>
  <si>
    <t>Dual-frequency microwave Doppler radar (2.4 GHz, 5.8 GHz)</t>
  </si>
  <si>
    <t>Not explicitly mentioned (radar hardware components)</t>
  </si>
  <si>
    <t>Monostatic continuous-wave radar</t>
  </si>
  <si>
    <t>Not applicable (non-contact radar system)</t>
  </si>
  <si>
    <t>Not applicable (single radar system)</t>
  </si>
  <si>
    <t>Microwave Doppler radar</t>
  </si>
  <si>
    <t>Mounted remotely (e.g., ceiling or wall)</t>
  </si>
  <si>
    <t>Effective Radar Cross Section (ERCS) and chest displacement</t>
  </si>
  <si>
    <t>Implied (remote monitoring)</t>
  </si>
  <si>
    <t>Supine, prone, side</t>
  </si>
  <si>
    <t>Support Vector Machine (SVM) with quadratic kernel
K-Nearest Neighbors (KNN)
Decision Tree</t>
  </si>
  <si>
    <t>20 participants (6 females, 14 males)</t>
  </si>
  <si>
    <t>90-second recordings per posture per subject</t>
  </si>
  <si>
    <t>85% (2.4 GHz, SVM)
80% (5.8 GHz, SVM)
98.4% (dual-frequency, Decision Tree)</t>
  </si>
  <si>
    <t>Environmental dependency (multipath effects)
Subject variability (body size, posture changes)
Computational complexity in threshold-based methods</t>
  </si>
  <si>
    <t>Integration of adaptive deep learning
Multisubject monitoring using Independent Component Analysis (ICA)
Real-time implementation for clinical use</t>
  </si>
  <si>
    <t>Inertial measurement sensor (accelerometer)</t>
  </si>
  <si>
    <t>Koala (wearable accelerometer)</t>
  </si>
  <si>
    <t>Wrist-worn device</t>
  </si>
  <si>
    <t>2 (during training phase: chest and wrist; monitoring phase: wrist only)</t>
  </si>
  <si>
    <t>Bluetooth Low Energy (BLE) for data transmission</t>
  </si>
  <si>
    <t>Wrist (monitoring phase); chest and wrist (training phase)</t>
  </si>
  <si>
    <t>Acceleration data in X, Y, Z axes</t>
  </si>
  <si>
    <t>Yes (mobile health system with cloud connectivity)</t>
  </si>
  <si>
    <t>Supine, prone, right lateral, left lateral</t>
  </si>
  <si>
    <t>Smartphone (data collection and preprocessing)</t>
  </si>
  <si>
    <t>Support Vector Machine (SVM) with radial basis function (RBF) kernel
Random Forest (RF)</t>
  </si>
  <si>
    <t>Collected from subjects performing designated postures (sitting, lying, posture changes)</t>
  </si>
  <si>
    <t>SVM: 82% (Subject 1), 72% (Subject 2)
RF: 84% (Subject 1), 72% (Subject 2)</t>
  </si>
  <si>
    <t>Prone posture recognition accuracy lower than other postures
Sensor placement variability affecting calibration
Generalizability across subjects</t>
  </si>
  <si>
    <t>Medicine dosage adjustment based on sleep posture profiles
Home long-term sleep monitoring
Risky position alarm system
Integration with elder healthcare systems</t>
  </si>
  <si>
    <t>RGB camera
Thermal camera</t>
  </si>
  <si>
    <t>RGB camera: Resolution 464 × 848 pixels, 30 fps
Thermal camera: Resolution 624 × 832 pixels, 6 fps</t>
  </si>
  <si>
    <t>Not embedded; external cameras used for monitoring</t>
  </si>
  <si>
    <t>2 (RGB and thermal cameras)</t>
  </si>
  <si>
    <t>Standard bed dimensions: 196 cm (length) × 90 cm (width) × 55 cm (height)</t>
  </si>
  <si>
    <t>RGB imaging
Thermal imaging</t>
  </si>
  <si>
    <t>Positioned to capture sleep postures on the bed</t>
  </si>
  <si>
    <t>Video data converted into frames</t>
  </si>
  <si>
    <t>Supine
Left log
Right log
Prone head
Prone left
Prone right</t>
  </si>
  <si>
    <t>Core i7 processor, 8 GB RAM</t>
  </si>
  <si>
    <t>Deep learning models: Fine-tuned VGG16 and ResNet50
Feature fusion: Serial normal distribution-based fusion
Machine learning classifiers:
Linear SVM (LSVM)
Quadratic SVM (QSVM)
Cubic SVM (CSVM)
Fine Gaussian SVM (FGSVM)
Fine KNN (FKNN)
Medium KNN (MKNN)
Coarse KNN (CKNN)
Cosine KNN
Medium Gaussian SVM (MGSVM)
Cubic KNN</t>
  </si>
  <si>
    <t>Collected from 10 healthy adult males (average age: 24 years)
Conditions: With and without blankets</t>
  </si>
  <si>
    <t>Not explicitly mentioned in terms of GB/TB</t>
  </si>
  <si>
    <t>Up to 99.1% (with fusion and QSVM)</t>
  </si>
  <si>
    <t>Without blanket:
96.7% (ResNet50 + QSVM)
96.7% (VGG16 + CSVM)
With blanket:
96% (VGG16 + LSVM)
Fusion-based (blanket):
99% (RGB data + QSVM)
98.5% (thermal data + CSVM)</t>
  </si>
  <si>
    <t>Up to 99% (with fusion)</t>
  </si>
  <si>
    <t>Blanket interference in posture recognition
Limited dataset diversity (age, gender imbalance)
Generalizability to real-world scenarios</t>
  </si>
  <si>
    <t>Expand dataset to include diverse age groups and health conditions.
Field tests for real-world validation.
Enhance system capabilities to assess spinal alignment and limb positioning.
Improve granularity in posture classification.</t>
  </si>
  <si>
    <t>Force Sensing Resistor (FSR) sensors</t>
  </si>
  <si>
    <t>Polymer thick film (as inferred from FSR sensor description)</t>
  </si>
  <si>
    <t>Smart mat (placed between the sheet and mattress)</t>
  </si>
  <si>
    <t>128 (arranged in a 16x8 grid structure)</t>
  </si>
  <si>
    <t>189.9 cm × 90.9 cm (designed to fit a hospital bed)</t>
  </si>
  <si>
    <t>Pressure sensing (measures static and dynamic forces)</t>
  </si>
  <si>
    <t>Grid structure with 8 cm horizontal and vertical spacing between sensors</t>
  </si>
  <si>
    <t>Pressure distribution data from FSR sensors</t>
  </si>
  <si>
    <t>Wireless LAN (IEEE 802.11b) for data transmission to a monitoring system</t>
  </si>
  <si>
    <t>6 postures</t>
  </si>
  <si>
    <t>Upright posture
Left posture
Right posture
Lying to the left
Lying to the right
Prone posture</t>
  </si>
  <si>
    <t>Arduino Mega boards (for sensor sections)
Raspberry Pi 3 (as a concentrator for data aggregation)</t>
  </si>
  <si>
    <t>Multitier body part recognition:
Tier-1: Head, shoulders, hips (high pressure, low movement)
Tier-2: Thigh, calf (moderate pressure)
Tier-3: Hands, arms, legs, feet (low pressure, high movement)
Filter-based approach: Uses 3x2, 2x2, and 1x1 filters to identify body parts.
Pressure distribution analysis: Cumulative sums of left and right columns for posture determination.</t>
  </si>
  <si>
    <t>Collected from 7 participants (6 men, 1 woman; ages 23–67)
3-hour measurements per participant</t>
  </si>
  <si>
    <t>90% (with 5 samplings)</t>
  </si>
  <si>
    <t>Sensor spacing: Wider spacing (8 cm) reduces accuracy compared to narrower spacing.
Posture transition: Errors occur during posture changes due to dynamic pressure variations.
Body part movement: High-movement parts (e.g., hands, feet) are harder to detect.</t>
  </si>
  <si>
    <t>Reduce sensor spacing for higher accuracy.
Apply machine learning to improve posture recognition using collected pressure distribution data.
Extend monitoring capabilities to include additional body parts (e.g., heel, hands</t>
  </si>
  <si>
    <t>Impulse Radio Ultra-Wideband (IR-UWB) Radar</t>
  </si>
  <si>
    <t>Xethru X4M03 v5 (Novelda, Oslo, Norway)</t>
  </si>
  <si>
    <t>Tripods and a light boom (not embedded in any material)</t>
  </si>
  <si>
    <t>3 (Top, Side, Head configurations)</t>
  </si>
  <si>
    <t>Hospital bed dimensions: 1.9 m × 0.9 m × 0.5 m (with mat)</t>
  </si>
  <si>
    <t>IR-UWB Radar System</t>
  </si>
  <si>
    <t>Top radar: Hung on a light boom, 1.5 m from bed surface
Side radar: Mounted 0.65 m from bed surface on a tripod
Head radar: Mounted 0.65 m from bed surface and 0.2 m from the shorter edge</t>
  </si>
  <si>
    <t>Radar signals transformed into spatiotemporal graphs (imitated RGB images)</t>
  </si>
  <si>
    <t>Performance metrics (accuracy, confusion matrix)</t>
  </si>
  <si>
    <t>Supine, Right side-lying, Left side-lying, Prone</t>
  </si>
  <si>
    <t>Laptop computer</t>
  </si>
  <si>
    <t>Vision Transformers (ViT, Swin Transformer V2)
CNN-based models (ResNet50, DenseNet121, EfficientNetV2)</t>
  </si>
  <si>
    <t>30 participants (19 males, 11 females), 10 repetitions per posture
Total samples: 1200 (30 participants × 4 postures × 10 repetitions)</t>
  </si>
  <si>
    <t>Images resized to 224 × 224 pixels</t>
  </si>
  <si>
    <t>Best model (Swin Transformer + Side + Head radar): 0.808 (80.8%)</t>
  </si>
  <si>
    <t>Limited spatial information from 1D radar signals
Signal-to-noise ratio (SNR) issues, especially with top radar
Small dataset size for deep learning</t>
  </si>
  <si>
    <t>Application of synthetic aperture radar techniques
Larger dataset with diverse demographics
Integration with vital sign monitoring
Advanced modeling techniques like DensePose</t>
  </si>
  <si>
    <t xml:space="preserve">Pressure-sensitive textile bedsheet
</t>
  </si>
  <si>
    <t>eTextile (fiber-based yarn coated with piezoelectric polymer)</t>
  </si>
  <si>
    <t>Custom-designed 
64
×
128
64×128 pressure sensor array</t>
  </si>
  <si>
    <t>Bedsheet (three-layer structure: top fabric with conductive lines, middle eTextile layer, bottom conductive lines)</t>
  </si>
  <si>
    <t>8192 (64 × 128 grid)</t>
  </si>
  <si>
    <t>Standard twin-size coil spring mattress (dimensions not explicitly stated)</t>
  </si>
  <si>
    <t>Piezoelectric polymer-based pressure sensing</t>
  </si>
  <si>
    <t>Integrated into the bedsheet, covering the entire sleeping surface</t>
  </si>
  <si>
    <t>High-resolution pressure distribution maps from the bedsheet</t>
  </si>
  <si>
    <t>Potential for alerts to caregivers (implied but not detailed)</t>
  </si>
  <si>
    <t>Performance metrics (precision, recall, confusion matrices)</t>
  </si>
  <si>
    <t>Left-Log (LL), Left-Fetus (LF), Right-Log (RL), Right-Fetus (RF), Prone (P), Supine (S)</t>
  </si>
  <si>
    <t>Microcontroller for sensor scanning; tablet for data analysis and storage</t>
  </si>
  <si>
    <t>Sparse Classifiers (Maximum Coefficient, Maximum Sum of Class Coefficients, Minimum Class Residual)
Feature extraction: 32 geometric features (spatial and body-part features)</t>
  </si>
  <si>
    <t>14 subjects (9 male, 5 female; weight: 50–85 kg, height: 155–188 cm)
40 samples per posture per subject</t>
  </si>
  <si>
    <t>Pressure images: 
64
×
128
64×128 pixels</t>
  </si>
  <si>
    <t>Up to 89% (best performance with Sparse Classifier MSCC/MCR)</t>
  </si>
  <si>
    <t>Not explicitly stated (precision/recall reported instead)</t>
  </si>
  <si>
    <t>Up to 90% (best performance with Sparse Classifier MSCC/MCR)</t>
  </si>
  <si>
    <t>Self-occlusion in pressure images
Misclassification of log postures due to similar pressure distributions
Hardware robustness (e.g., disconnected wires)</t>
  </si>
  <si>
    <t>Monitoring transitional states between postures
3D model reconstruction from 2D pressure images
Integration into advanced beds for fall risk evaluation and pressure redistribution</t>
  </si>
  <si>
    <t xml:space="preserve">Dual-channel respiratory impedance sensor
</t>
  </si>
  <si>
    <t>Electrodes (tetrapolar configuration)</t>
  </si>
  <si>
    <t>Custom-designed impedance instrument with CC2530 RF wireless transceiver and 14-bit A/D converter</t>
  </si>
  <si>
    <t>Wearable system (electrodes attached to the body)</t>
  </si>
  <si>
    <t>6 electrodes (2 channels for left and right lung impedance measurement)</t>
  </si>
  <si>
    <t>Not applicable (wearable system, not mattress-based)</t>
  </si>
  <si>
    <t>Impedance plethysmography (IP)</t>
  </si>
  <si>
    <t>Electrodes placed on the upper and lower sides of the left and right mid-axillary lines and sternal midline (see Table 2 in the paper for exact positions)</t>
  </si>
  <si>
    <t>Dual-channel respiratory impedance signals (left and right lung)</t>
  </si>
  <si>
    <t>Zigbee wireless transmission module for data transfer to a PC</t>
  </si>
  <si>
    <t>Not explicitly mentioned, but data is processed and classified in real-time</t>
  </si>
  <si>
    <t>Supine decubitus (SD)
Left lateral decubitus (LD)
Right lateral decubitus (RD)
Prone decubitus (PD)</t>
  </si>
  <si>
    <t>PC for data processing</t>
  </si>
  <si>
    <t>Support Vector Machine (SVM) with Radial Basis Function (RBF) kernel
Backward Elimination (BE) for feature selection
Other classifiers tested: ANN, LDA, Linear SVM, Polynomial SVM</t>
  </si>
  <si>
    <t>16 healthy male subjects (age 20–26)
1536 samples (96 samples per subject, 15-second segments)</t>
  </si>
  <si>
    <t>1536 samples</t>
  </si>
  <si>
    <t>Not explicitly stated, but accuracy suggests high precision</t>
  </si>
  <si>
    <t>99.67% (with SVM + RBF kernel and BE)</t>
  </si>
  <si>
    <t xml:space="preserve">Not explicitly stated
</t>
  </si>
  <si>
    <t>Small sample size (16 subjects)
Limited to controlled laboratory environment
Age and gender limitations (only young males)
Need for validation in real-world sleep scenarios</t>
  </si>
  <si>
    <t>Long-term posture monitoring
Mass and diverse sample testing
Integration with big data analysis methods
Development of a simpler, more integrated wearable system
Smart home and IoT applications</t>
  </si>
  <si>
    <t>Accelerometer sensor (MPU 6050 with 3-axis accelerometer)
Pulse sensor (heartbeat sensor with LED and light-detecting resistor)</t>
  </si>
  <si>
    <t>Microelectromechanical (MEMS) technology (for accelerometer)
Conductive fabric and wires (mentioned in related works for pressure sensors)</t>
  </si>
  <si>
    <t>MPU 6050 (with digital motion processor and on-chip pulse sensor)</t>
  </si>
  <si>
    <t>Chest, knee, right wrist, abdomen, right thigh, left thigh, left shoulders</t>
  </si>
  <si>
    <t>5 sensors (used in the proposed work)</t>
  </si>
  <si>
    <t>32x32 arrays (1024 nodes)
64x64 pulse sensor arrays (threshold filtering)</t>
  </si>
  <si>
    <t>MEMS accelerometer
Resistive-based technology (for pulse sensor)</t>
  </si>
  <si>
    <t>Body-worn: Wrist, abdomen, thighs, shoulders, chest, knee</t>
  </si>
  <si>
    <t>Heartbeat rate (HBR) from pulse sensor
Video clips (infrared/thermal imaging)
MPII dataset (for training)</t>
  </si>
  <si>
    <t>Wireless Body Area Network (WBAN) with mesh topology for data relay.</t>
  </si>
  <si>
    <t>Triggers caretakers for patients with breathing issues or post-surgery monitoring.</t>
  </si>
  <si>
    <t>Survey data on sleep disturbances (work pressure, medical issues, etc.).</t>
  </si>
  <si>
    <t>4 postures (supine, prone, right lateral recumbent (RLR), left lateral recumbent (LLR))</t>
  </si>
  <si>
    <t>Supine, Prone, RLR, LLR</t>
  </si>
  <si>
    <t>NodeMCU (for data transmission to central server)</t>
  </si>
  <si>
    <t>Posture Prediction-Bayesian Network (PP-BN) for sequential posture prediction.
Convolutional Neural Network (CNN) for classification (mentioned in related works).</t>
  </si>
  <si>
    <t>Not explicitly mentioned, but mesh topology is used for efficient data relay.</t>
  </si>
  <si>
    <t>MPII dataset (YouTube clips cropped for human postures).
Custom dataset: 44,800 samples from 3 subjects (sleep, stand, sit, etc.).</t>
  </si>
  <si>
    <t>7000 images (MPII dataset, reshaped to 32x32 resolution).
64x64 pixel resolution for sleep posture frames.</t>
  </si>
  <si>
    <t>91.05% (proposed PP-BN outperforms existing methods).
Comparative accuracies:
SVM: 77.14%
Deep Neural Networks: 99.70% (related work)</t>
  </si>
  <si>
    <t>89% (mentioned in related works for blanket-enabled sensors).</t>
  </si>
  <si>
    <t>Environmental noise in physiological signals.
MAC layer channelization problems hinder data gathering.</t>
  </si>
  <si>
    <t>Extend to machine learning algorithms for other physiological signals.
Address energy efficiency in WBANs.</t>
  </si>
  <si>
    <t>Pressure sensor (for sleep posture detection)
Respiratory microphone (MIC) sensor (for breathing rate measurement)</t>
  </si>
  <si>
    <t>Conductive threads and pressure-sensitive conductive sheet (for pressure sensors)</t>
  </si>
  <si>
    <t>Not explicitly mentioned, but uses Arduino-compatible sensors.</t>
  </si>
  <si>
    <t>Mattress (pressure sensors)
Pillowcase/near the nose (respiratory MIC sensor)</t>
  </si>
  <si>
    <t>6 pressure sensors (arranged in a 2×3 matrix)
1 respiratory MIC sensor</t>
  </si>
  <si>
    <t>2×3 matrix (6 pressure sensors)</t>
  </si>
  <si>
    <t>Analog-to-Digital Converter (ADC) (10-bit for pressure sensors)
Resistive-based (pressure sensors)</t>
  </si>
  <si>
    <t>Mattress: Distributed for posture detection (left, right, center).
Near the nose: Respiratory MIC sensor for breathing monitoring.</t>
  </si>
  <si>
    <t>Pressure data (from mattress sensors)
Breathing signals (from MIC sensor)</t>
  </si>
  <si>
    <t>Wi-Fi-enabled IoT module for real-time data transmission to a web application.</t>
  </si>
  <si>
    <t>Buzzer triggers for abnormal breathing (apnea) or prolonged immobility.
Web application displays alerts for caregivers.</t>
  </si>
  <si>
    <t>Sleep posture trends (left, right, center).
Breathing rate graphs (web-based visualization).</t>
  </si>
  <si>
    <t>3 postures: Left, Right, Center.</t>
  </si>
  <si>
    <t>Left lateral, Right lateral, Center (supine/prone not explicitly classified).</t>
  </si>
  <si>
    <t>Arduino UNO (main microcontroller).</t>
  </si>
  <si>
    <t>Threshold-based logic for posture detection.
Shallow Convolutional Neural Network (CNN) (mentioned in related works, accuracy: 84.80–91.24%).</t>
  </si>
  <si>
    <t>Not explicitly mentioned, but uses low-power sensors and Arduino.</t>
  </si>
  <si>
    <t>Real-time sensor data from 5 participants (sleep apnea patients).
No external dataset mentioned.</t>
  </si>
  <si>
    <t>Sampling rate: 0.4 frames/second (pressure sensors).</t>
  </si>
  <si>
    <t>84.80% (standard training-test method).
91.24% (transfer-based subject-specific method).</t>
  </si>
  <si>
    <t>Real-time processing complexity for apnea detection.
False alarms due to threshold sensitivity.</t>
  </si>
  <si>
    <t>Automated pressure delivery for apnea intervention.
Integration with GSM for emergency alerts.
Expansion to cardiovascular monitoring (heart rate, HRV).</t>
  </si>
  <si>
    <t>Seismic sensor (seismometer)
Analog Digital Converter (ADC) board</t>
  </si>
  <si>
    <t>Magnetic element with wire coils (for seismic sensor)</t>
  </si>
  <si>
    <t>RGI-4.5Hz Geophone (vertical seismic sensor)</t>
  </si>
  <si>
    <t>Bed frame (mounted magnetically)</t>
  </si>
  <si>
    <t>1 seismic sensor per bed</t>
  </si>
  <si>
    <t>Not explicitly mentioned (single sensor per bed).</t>
  </si>
  <si>
    <t>Micro-vibration detection (for heartbeat and occupancy).
100 Hz sampling rate (via ADC).</t>
  </si>
  <si>
    <t>Side or underside of bed frame (configurable).</t>
  </si>
  <si>
    <t>Time-domain vibration signals (filtered: 2–10 Hz).
Spectral features (FFT of raw signals).</t>
  </si>
  <si>
    <t>Raspberry Pi for real-time data processing and transmission.</t>
  </si>
  <si>
    <t>Not explicitly mentioned (focus on detection, not alerts).</t>
  </si>
  <si>
    <t>Real-time bed occupancy status (on/off-bed).
Web-based visualization (for continuous monitoring).</t>
  </si>
  <si>
    <t>Not applicable (focuses on occupancy, not posture classification).</t>
  </si>
  <si>
    <t>N/A (detects presence/absence, not specific postures).</t>
  </si>
  <si>
    <t>Raspberry Pi (onboard computer).</t>
  </si>
  <si>
    <t>Self-Supervised Representation Learning (SSL).
Spectral-Temporal Feature Fusion (STFF).
Multi-class classification (for data augmentation).</t>
  </si>
  <si>
    <t>Not explicitly mentioned (assumed low-power for Raspberry Pi and sensors).</t>
  </si>
  <si>
    <t>543 hours of data (291 hours in controlled hospital, 252 hours in real-world environments).
100 participants (42 males, 58 females).</t>
  </si>
  <si>
    <t>195,478 samples (10-second segments, no overlap).</t>
  </si>
  <si>
    <t>98.49% (average across 13 environments).
97.01% (with only 20% training data).</t>
  </si>
  <si>
    <t>98.08% (average across 13 environments).
96.54% (with only 20% training data).</t>
  </si>
  <si>
    <t>Background noise (e.g., footsteps, air conditioning).
Sensor position sensitivity (mitigated by robust algorithms).
Generalization across environments (addressed by SSL and STFF).</t>
  </si>
  <si>
    <t>Transfer to seat scenarios (e.g., office chairs).
Integration with vital signs monitoring (e.g., heart rate, respiration).
Automated adaptation to new environments (using unlabeled data).
Expansion to multi-person bed occupancy.</t>
  </si>
  <si>
    <t xml:space="preserve">Infrared depth camera
</t>
  </si>
  <si>
    <t xml:space="preserve">Not explicitly mentioned (likely semiconductor-based for RGB and depth sensing).
</t>
  </si>
  <si>
    <t>RealSense D435i depth camera (Intel Corp.)</t>
  </si>
  <si>
    <t>Not embedded; mounted 1.6 m above the bed surface on a steel stand.</t>
  </si>
  <si>
    <t>1 (single camera system)</t>
  </si>
  <si>
    <t>Standard bed dimensions: 196 cm (length) × 90 cm (width) × 55 cm (height).</t>
  </si>
  <si>
    <t>3D time-of-flight near-infrared RGB-D (depth) sensing.</t>
  </si>
  <si>
    <t>1.6 meters above the bed surface</t>
  </si>
  <si>
    <t>Infrared depth images (848 × 480 pixels at 6 fps).</t>
  </si>
  <si>
    <t>Not explicitly mentioned, but data processing suggests potential for integration.</t>
  </si>
  <si>
    <t>Not described in this study (focus on classification).</t>
  </si>
  <si>
    <t>Performance metrics (accuracy, F1-score, etc.) provided for posture classification.</t>
  </si>
  <si>
    <t>Coarse-grained: 4 postures (supine, prone, left side-lying, right side-lying).
Fine-grained: 7 postures (supine, prone head left/right, log left/right, fetal left/right).</t>
  </si>
  <si>
    <t>Supine, prone (head left/right), log (left/right), fetal (left/right).</t>
  </si>
  <si>
    <t>Not specified (likely a computer running TensorFlow/Keras).</t>
  </si>
  <si>
    <t>Backbone: EfficientNet CNN.
Training: Two-step process with synthesized and original datasets.
Loss Functions: Categorical cross-entropy for coarse and fine-grained classification.
Optimizer: Adam (learning rate: 0.0001, L2 regularization: 0.0005).</t>
  </si>
  <si>
    <t>Participants: 66 adults (40 men, 26 women).
Conditions: 7 postures × 4 blanket conditions (thick, medium, thin, no blanket).
Split: 51 participants for training, 15 for testing.
Augmentation: Affine transformations and data fusion to synthesize blanket variations.</t>
  </si>
  <si>
    <t>~1,400 original samples (51 participants × 7 postures × 4 conditions), augmented further.</t>
  </si>
  <si>
    <t>Reduced accuracy under thick blankets (F1-score dropped by 8.9% for fine-grained).
Difficulty distinguishing log vs. fetal postures and prone head orientations.
Limited resolution of depth camera for facial features.</t>
  </si>
  <si>
    <t>Expand dataset to include age groups &lt;18 and &gt;70, and balance gender ratio.
Field tests in real-world settings (e.g., care homes).
Integrate spinal alignment and joint angle measurement for clinical insights.</t>
  </si>
  <si>
    <t>Infrared depth camera with auxiliary visible light RGB camera</t>
  </si>
  <si>
    <t>Not explicitly mentioned (likely semiconductor-based for RGB and depth sensing).</t>
  </si>
  <si>
    <t>Not embedded; mounted 1.6 m above the bed surface on a stand.</t>
  </si>
  <si>
    <t>1 (integrated RGB-D camera system).</t>
  </si>
  <si>
    <t>Active infrared stereo technology for depth sensing, combined with RGB imaging.</t>
  </si>
  <si>
    <t>1.6 meters above the bed surface.</t>
  </si>
  <si>
    <t>Synchronized RGB and infrared depth images (848 × 480 pixels at 6 fps).</t>
  </si>
  <si>
    <t>Not explicitly mentioned, but the system is designed for non-contact monitoring.</t>
  </si>
  <si>
    <t xml:space="preserve">Not described in this study (focus on classification).
</t>
  </si>
  <si>
    <t>7 postures:
Supine
Prone (head turned left)
Prone (head turned right)
Left-sided log
Right-sided log
Left-sided fetal
Right-sided fetal</t>
  </si>
  <si>
    <t>Not specified (likely a computer running PyTorch for model inference).</t>
  </si>
  <si>
    <t>Backbone Models: ResNet-34, EfficientNet B4, ECA-Net50.
Pose Estimator: OpenPose for anatomical landmark detection (18 keypoints).
Training: Adam optimizer (learning rate: 0.0001, L2 regularization: 0.0005).
Data Augmentation: Affine transformations and data fusion for blanket conditions.
Decision Logic: XOR-based fusion of outputs from models with/without pose guidance.</t>
  </si>
  <si>
    <t>Participants: 120 healthy adults (61 male, 59 female; ages 11–77).
Conditions: 7 postures × 4 blanket conditions (thick, medium, thin, no blanket).
Data Size: 3,360 pairs of RGB-D images (120 participants × 7 postures × 4 conditions).
Split: 8:2 training-to-testing ratio (96 participants for training, 24 for testing).</t>
  </si>
  <si>
    <t>Original: 3,360 images. Augmented further for training.</t>
  </si>
  <si>
    <t>Pose estimator (OpenPose) occasionally failed to generate valid anatomical landmarks (handled via bypass logic).
RGB dependency for pose estimation limits nighttime use without visible light.
Imbalanced age/gender distribution in the dataset.
Black-box nature of deep learning models limits clinical interpretability.</t>
  </si>
  <si>
    <t>Develop pose estimators compatible with depth-only images for nighttime use.
Extend to video-based monitoring for continuous posture tracking during sleep.
Include participants with sleep disorders and balance demographic representation.
Quantify spinal curvature and joint kinematics for musculoskeletal disorder analysis.
Hierarchical posture classification (e.g., separate head/trunk/limb postures).</t>
  </si>
  <si>
    <t>Depth camera (RGB-D)</t>
  </si>
  <si>
    <t>Not explicitly mentioned, but the device uses active infrared stereo technology.</t>
  </si>
  <si>
    <t>Realsense D435i (Intel Corp.)</t>
  </si>
  <si>
    <t>Standalone device (not embedded in any material)</t>
  </si>
  <si>
    <t>1 (depth camera with auxiliary RGB camera and IMU, though IMU was not used in this study)</t>
  </si>
  <si>
    <t>Not applicable (sensor installed 1.6 m above a standard hospital bed)</t>
  </si>
  <si>
    <t>Active infrared stereo technology</t>
  </si>
  <si>
    <t>Installed 1.6 meters above a standard hospital bed (55 cm tall)</t>
  </si>
  <si>
    <t>Depth images (848 × 480 pixels, 6 fps)</t>
  </si>
  <si>
    <t>Not explicitly mentioned, but the system is designed for home or community usage.</t>
  </si>
  <si>
    <t>Not mentioned in the paper.</t>
  </si>
  <si>
    <t>7 postures (supine, prone with head left, prone with head right, log left, log right, fetal left, fetal right)</t>
  </si>
  <si>
    <t>Supine
Prone with head turned left
Prone with head turned right
Log left
Log right
Fetal left
Fetal right</t>
  </si>
  <si>
    <t>Not mentioned (likely a computer running the deep learning model).</t>
  </si>
  <si>
    <t>SaccpaNet (Separable Atrous Convolution-based Cascade Pyramid Attention Network)
Combines pyramidal residual separable atrous convolution units and attention mechanisms.
Uses cross-modal knowledge transfer (pretrained on RGB COCO dataset, fine-tuned on depth images).</t>
  </si>
  <si>
    <t>Training Data: Collected from 150 participants performing 7 postures under 4 blanket conditions (thick, medium, thin, none).
Public Dataset: COCO-whole body dataset (for pretraining).
Data Augmentation: Intra-class mix-up for blanket synthesis and overlaid flip-cut for partial covering scenarios.</t>
  </si>
  <si>
    <t>4,200 RGB-D image pairs (28 per participant: 4 blanket conditions × 7 postures).</t>
  </si>
  <si>
    <t>0.652 (joint coordinate estimation)</t>
  </si>
  <si>
    <t>7-class: 0.885
6-class (prone postures combined): 0.940</t>
  </si>
  <si>
    <t xml:space="preserve">Reported in Table III (e.g., 0.8869 for 7-class, 0.9393 for 6-class).
</t>
  </si>
  <si>
    <t>Overall: 0.885 (7-class), 0.940 (6-class)
Best for thin blanket: 0.908 (7-class), 0.953 (6-class)</t>
  </si>
  <si>
    <t>Poor classification accuracy for prone postures with head left/right (F1-score ~0.74).
Blanket interference (thick blankets reduced performance slightly).
Depth camera resolution limitations for abrupt depth differences.</t>
  </si>
  <si>
    <t>Extend to continuous monitoring (dynamic posture changes, toss/turn events).
Incorporate background removal and generative data augmentation (GANs).
Explore multimodal integration (e.g., radar, microphones for apnea sounds, respiratory movements).
Improve prone posture classification using handcrafted features (e.g., shoulder kinematics).</t>
  </si>
  <si>
    <t>Pressure sensing mat (piezo-resistive material)</t>
  </si>
  <si>
    <t>Velostat (piezo-resistive material)</t>
  </si>
  <si>
    <t>Custom-built (Sleep Mat-e)</t>
  </si>
  <si>
    <t>Thin plastic film under the bedsheet</t>
  </si>
  <si>
    <t>171 (arranged in a 19×9 grid)</t>
  </si>
  <si>
    <t>100 cm × 200 cm (same as a single mattress)</t>
  </si>
  <si>
    <t>Piezo-resistive pressure sensors</t>
  </si>
  <si>
    <t>Placed on the mattress under the bedsheet</t>
  </si>
  <si>
    <t>Pressure distribution data from the mat</t>
  </si>
  <si>
    <t>Yes (data transmitted to the cloud via Wi-Fi)</t>
  </si>
  <si>
    <t>Fall warning, bedsore alert, and bed unoccupied alert</t>
  </si>
  <si>
    <t>Statistical data on sleep posture distribution and time in bed, accessible via a smartphone app</t>
  </si>
  <si>
    <t>4 primary postures (plus "unoccupied" and "closer to the edge" for alerts)</t>
  </si>
  <si>
    <t>Face Up
Face Down
Right Lateral
Left Lateral</t>
  </si>
  <si>
    <t>ATmega32u4 microcontroller</t>
  </si>
  <si>
    <t>Convolutional Neural Network (CNN) with Transfer Learning (Inception-v3)</t>
  </si>
  <si>
    <t>Average current: ~90.8 mA (for data acquisition and transmission)
Battery life: ~8 hours (continuous operation), extendable by reducing sampling frequency</t>
  </si>
  <si>
    <t>200 images per posture (total of 1,200 images including "unoccupied" and "edge" cases)</t>
  </si>
  <si>
    <t>Not explicitly mentioned, but data is transmitted as 2-byte values per sensor node</t>
  </si>
  <si>
    <t>Not explicitly mentioned (accuracy is the primary metric reported)</t>
  </si>
  <si>
    <t>Overall: ~90%
Breakdown by posture:
Unoccupied: 100%
Face Up: 93%
Face Down: 90%
Left Lateral: 85%
Right Lateral: 80%
Edge: 95%</t>
  </si>
  <si>
    <t>Confusion between Face Up and Face Down postures due to bilateral symmetry.
Misclassification between Left Lateral and Right Lateral postures due to similar pressure patterns.
Limited battery life for continuous operation.</t>
  </si>
  <si>
    <t>Testing with real patients in care settings.
Incorporating random sleep postures for broader validation.
Improving accuracy by fine-tuning the model with a larger dataset.
Enhancing battery life optimization strategies.</t>
  </si>
  <si>
    <t>Pressure sensing mat</t>
  </si>
  <si>
    <t>Pressure sensing mat placed under the bed sheet</t>
  </si>
  <si>
    <t>Original: 32×32 (1024 sensors)
Downsampled: 16×16 (256 sensors) and 8×8 (64 sensors)</t>
  </si>
  <si>
    <t>Miniature-scale: 55×55 cm (0.3 m²)</t>
  </si>
  <si>
    <t>Under the bed sheet, covering major regions of the chest, part of the shoulders, and part of the hips</t>
  </si>
  <si>
    <t>Pressure distribution images (32×32, 16×16, or 8×8 resolution)</t>
  </si>
  <si>
    <t>Potential for deployment on mobile or embedded devices for real-time monitoring</t>
  </si>
  <si>
    <t>Real-time sleep posture monitoring to alert users for improper postures</t>
  </si>
  <si>
    <t>Supine, Left, Right, Prone</t>
  </si>
  <si>
    <t>ConcatNet (lightweight neural network with Inception module and depthwise convolution)</t>
  </si>
  <si>
    <t>Not explicitly mentioned, but the model is designed for low computational complexity</t>
  </si>
  <si>
    <t>Short-term dataset (Dataset A): 1059 images from 16 subjects
Overnight dataset (Dataset B): 20521 images from 5 subjects</t>
  </si>
  <si>
    <t>Short-term: 1059 images
Overnight: 20521 images</t>
  </si>
  <si>
    <t>ConcatNet-S: 89.06%–97.28%
ConcatNet-M: 94.36%–96.65%
ConcatNet-L: 96.20%–99.24%</t>
  </si>
  <si>
    <t>ConcatNet-S: 89.52%
ConcatNet-M: 95.56% (short-term), 94.68% (overnight)
ConcatNet-L: 97.64% (short-term), 92.91% (overnight)</t>
  </si>
  <si>
    <t>ConcatNet-S: 81.99%–97.00%
ConcatNet-M: 92.28%–97.69%
ConcatNet-L: 97.31%–98.16%</t>
  </si>
  <si>
    <t>Trade-off between computational complexity and performance.
Overfitting in high-density sensor models (e.g., ConcatNet-L).
Difficulty in distinguishing supine and prone postures at low resolutions (8×8).</t>
  </si>
  <si>
    <t>Explore more refined sensor densities.
Integrate multi-modal signals (e.g., body movement, respiration).
Combine with transfer learning for personalized accuracy.
Extend to double-person scenarios.
Study optimal sensor selection for specific tasks.</t>
  </si>
  <si>
    <t>Millimeter-wave (mmw) radar</t>
  </si>
  <si>
    <t>TI's AWR1642-BOOST ODS development board</t>
  </si>
  <si>
    <t>FMCW radar system with 2 transmitted antennas and 4 received antennas</t>
  </si>
  <si>
    <t>Transmitted antennas: 2
Received antennas: 4</t>
  </si>
  <si>
    <t>Frequency Modulated Continuous Wave (FMCW) radar</t>
  </si>
  <si>
    <t>Placed on the side of the bed, 1.5 m to 5.44 m horizontally and 0.5 m vertically from the bed</t>
  </si>
  <si>
    <t>Multidimensional radar features (e.g., range spectrum, Doppler spectrum, range-Doppler spectrum, azimuth/elevation angle spectrum)</t>
  </si>
  <si>
    <t>Potential for integration into smart home systems for sleep monitoring</t>
  </si>
  <si>
    <t>Not explicitly mentioned, but real-time monitoring capability is implied</t>
  </si>
  <si>
    <t>Turning over near the radar
Turning away from the radar
Getting out of bed
Going to bed
Getting up
Lying down on the bed
Waving in bed
Walking around the bed</t>
  </si>
  <si>
    <t>PC for data processing and classification</t>
  </si>
  <si>
    <t>Lightweight multi-channel CNN with Inception-Residual Module (IRM)</t>
  </si>
  <si>
    <t>3 experimental objects
100 groups of each posture
Total: 3 × 8 × 100 = 2400 samples</t>
  </si>
  <si>
    <t>2400 samples (multidimensional radar feature images)</t>
  </si>
  <si>
    <t>Overall Accuracy (OA): 87.2% (best for 4-channel feature combination)
Average Accuracy (AA): 87.21%
Validation Accuracy (VA): 98.8%</t>
  </si>
  <si>
    <t>Limited representation ability of single-channel radar features (e.g., CA-RTM performed poorly).
Trade-off between feature dimensionality and model generalization (5-channel features worsened performance).
Real-time processing requirements for sleep monitoring.</t>
  </si>
  <si>
    <t>Extend to real-time sleep posture recognition for multiple persons.
Optimize feature combinations to improve model robustness.
Explore integration with other non-contact sensing modalities (e.g., thermal imaging).</t>
  </si>
  <si>
    <t xml:space="preserve">Millimeter-wave (mmWave) radar
</t>
  </si>
  <si>
    <t>TI MMWCAS EVM (Texas Instruments)</t>
  </si>
  <si>
    <t>Not embedded; placed above the bed</t>
  </si>
  <si>
    <t>Transmitting antennas: 6
Receiving antennas: 8</t>
  </si>
  <si>
    <t>Placed 1.72 meters vertically above the bed</t>
  </si>
  <si>
    <t>Multidimensional radar features (point cloud with respiratory information)</t>
  </si>
  <si>
    <t>Potential integration into smart home systems for sleep monitoring</t>
  </si>
  <si>
    <t>Not explicitly mentioned, but real-time monitoring is implied</t>
  </si>
  <si>
    <t>Supine
Prone
Left log
Right log
Left foetus
Right foetus</t>
  </si>
  <si>
    <t>Backend server (AMD R7-4800H CPU, 16GB memory)</t>
  </si>
  <si>
    <t>Feature Extraction: Multiframe joint analysis for stable point cloud, respiratory feature extraction, and normalization.
Classification: Lightweight DNN with convolutional layers and Transformer Encoder.</t>
  </si>
  <si>
    <t>Basic Scenario: 720 samples (10 volunteers × 6 postures × 12 samples).
Quilt Covered Scenario: 180 samples (6 volunteers × 6 postures × 5 samples).
Static Reflector Interference Scenario: 240 samples (4 volunteers × 6 postures × 10 samples).</t>
  </si>
  <si>
    <t>Total samples: 1140 (basic + quilt + static reflector scenarios).</t>
  </si>
  <si>
    <t>Basic Scenario: 98% average accuracy.
Quilt Covered Scenario: 97% with additional training data.
Static Reflector Scenario: &gt;90% average accuracy.</t>
  </si>
  <si>
    <t>Sparse and unstable point cloud: Addressed by multiframe joint analysis.
Environmental interference (e.g., quilts, static reflectors): Mitigated through feature normalization and adaptive training.
Individual differences: Overcome by normalizing respiratory features.</t>
  </si>
  <si>
    <t>Extend to real-time recognition for multiple persons.
Improve robustness to environmental variations (e.g., thicker quilts).
Explore integration with other sensing modalities (e.g., thermal imaging).</t>
  </si>
  <si>
    <t>Physical Sensing: Joint rotational motion, finger joint motion
Physiological Sensing: ECG (Electrocardiogram), EMG (Electromyography)</t>
  </si>
  <si>
    <t>Off-the-shelf stretchable conductive fabrics
Conductive fabric sensor array</t>
  </si>
  <si>
    <t>Joey (for ECG monitoring in Kangaroo Mother Care)
Custom glove (for finger joint motion tracking)
Smart pillow (for EMG-based sleep posture monitoring)</t>
  </si>
  <si>
    <t>Clothing (e.g., fabric necklace for Joey)
Accessories (e.g., glove, pillow)</t>
  </si>
  <si>
    <t>Not explicitly mentioned, but prototypes involve multiple fabric sensors (e.g., dual strain sensing for joint angles).</t>
  </si>
  <si>
    <t>Not specified.</t>
  </si>
  <si>
    <t>Resistance-based sensing (for physical sensing)
Biopotential monitoring (for physiological sensing)</t>
  </si>
  <si>
    <t>Neck (for Joey ECG monitoring)
Fingers (for custom glove)
Pillow (for EMG-based sleep posture monitoring)</t>
  </si>
  <si>
    <t>Joint movement (for physical sensing)
ECG/EMG signals (for physiological sensing)</t>
  </si>
  <si>
    <t xml:space="preserve">
Implied through real-time data acquisition and analysis, but not explicitly mentioned.</t>
  </si>
  <si>
    <t>Not specified for sleep postures, but multiple postures are implied.</t>
  </si>
  <si>
    <t>Sleep postures (e.g., side, back) inferred from EMG signals.</t>
  </si>
  <si>
    <t>Tiny computing units (constrained platforms).</t>
  </si>
  <si>
    <t>Neural network-based algorithms (for large datasets)
Mathematical models with normalization (for small datasets)
Signal extraction and denoising algorithms (e.g., diffusion-based denoising for ECG)</t>
  </si>
  <si>
    <t>Optimized through software-hardware co-design to minimize computational overhead and power consumption.</t>
  </si>
  <si>
    <t>Experiments with ten participants for joint angle tracking.</t>
  </si>
  <si>
    <t>9.69-degree median angular error in joint angle tracking.</t>
  </si>
  <si>
    <t>Consistent contact with the human body due to fabric flexibility.
Data variability from individual differences and ambient noise.
Limited computing power and battery life on tiny computing units.
Weak signal-to-noise ratio in EEG/EMG signals.</t>
  </si>
  <si>
    <t>Enhancing adaptability and accuracy of EMG-based smart pillow.
Improving integrated sensing technologies for EEG and EMG.
Advancing applications in healthcare, education, and adaptive entertainment.</t>
  </si>
  <si>
    <t>Pressure sensors (for sleep posture and breathing activity)
Web-cam (for chest movement monitoring)</t>
  </si>
  <si>
    <t>Pressure mattress (specific material not mentioned)</t>
  </si>
  <si>
    <t>FSA bed mat system (by Vista Medical Ltd)</t>
  </si>
  <si>
    <t>Mattress (pressure sensors)
External web-cam (placed near the bed)</t>
  </si>
  <si>
    <t>1728 pressure sensors (64x27 array)</t>
  </si>
  <si>
    <t>1920mm x 762mm (sensing area)</t>
  </si>
  <si>
    <t>Pressure sensing (0–100 mmHg range, 5 Hz scan frequency)
Computer vision (frame differencing for motion tracking)</t>
  </si>
  <si>
    <t>Bed mattress (pressure sensors)
Side of the bed (web-cam for chest movement)</t>
  </si>
  <si>
    <t>Pressure distribution (from mattress)
Chest movement (from web-cam)</t>
  </si>
  <si>
    <t>Yes (mobile app for remote monitoring, RESTful API for data aggregation)</t>
  </si>
  <si>
    <t>Yes (alerts for sleep interruptions sent to mobile app)</t>
  </si>
  <si>
    <t>Yes (visualized via charts: line, area, pie, donut)</t>
  </si>
  <si>
    <t>5 postures</t>
  </si>
  <si>
    <t>Lying on back
Lying on stomach
Left side
Right side
Sitting on bed</t>
  </si>
  <si>
    <t>Middleware web server (aggregates data for mobile app)</t>
  </si>
  <si>
    <t>PCA (for dimensionality reduction)
SVM (1vsAll) &amp; KNN-1 (for posture classification)
Frame differencing &amp; hysteresis thresholding (for motion tracking)
Gaussian filtering (for smoothing pressure data)</t>
  </si>
  <si>
    <t>5 subjects (simulating sleep postures and breathing)</t>
  </si>
  <si>
    <t>500 training samples (100 per posture, 5-fold cross-validation)</t>
  </si>
  <si>
    <t>SVM: 81.28% (average)
Back: 66.4%, Stomach: 100%, Right side: 60%, Left side: 80%, Sitting: 100%
KNN-1: 72.12% (average)</t>
  </si>
  <si>
    <t>Noisy measurements due to posture changes.
Dependence on body proportions for accuracy.
Ambient motion interference (e.g., hand movements).
Breathing inactivity detection (requires robust thresholds).</t>
  </si>
  <si>
    <t>Real-time analysis extension.
Integration of additional low-cost sensors (e.g., for RLS/PLMS detection).
Improved visualization (e.g., 3D heat maps, iconographic representations).</t>
  </si>
  <si>
    <t>Accelerometer (for sleep posture monitoring)</t>
  </si>
  <si>
    <t>Not explicitly mentioned (likely standard MEMS accelerometer materials).</t>
  </si>
  <si>
    <t>Not specified (generic accelerometer, possibly integrated into wristbands/smartwatches).</t>
  </si>
  <si>
    <t>Wristband/smartwatch (monitoring mode)
Chest strap (training mode)</t>
  </si>
  <si>
    <t>1 sensor (monitoring mode: wrist)
2 sensors (training mode: wrist + chest)</t>
  </si>
  <si>
    <t>Not applicable (no pressure mat used).</t>
  </si>
  <si>
    <t>Triaxial accelerometer (measures acceleration in X, Y, Z axes).</t>
  </si>
  <si>
    <t>Wrist (primary monitoring)
Chest (training phase only)</t>
  </si>
  <si>
    <t>Acceleration data (raw sensor readings).</t>
  </si>
  <si>
    <t>Yes (data transmitted via Bluetooth to smartphone/PC).</t>
  </si>
  <si>
    <t>Not explicitly mentioned (implied via data analysis on PC/cloud).</t>
  </si>
  <si>
    <t>4 postures</t>
  </si>
  <si>
    <t>Smartphone (intermediary for data transmission)
PC/Cloud (for data analysis).</t>
  </si>
  <si>
    <t>Random Forest (for posture classification)
Sliding window mean/variance calculation (noise removal)
Rotation matrix transformation (axis alignment).</t>
  </si>
  <si>
    <t>Collected from experiments (number of participants not specified).</t>
  </si>
  <si>
    <t>Validated via chest sensor ground truth (qualitative results in Fig. 5).
Quantitative accuracy not reported.</t>
  </si>
  <si>
    <t>Noise in raw accelerometer data (addressed via sliding window filtering).
User compliance during training (requires chest sensor for initial setup).
Limited posture granularity (only 4 postures recognized).</t>
  </si>
  <si>
    <t>Extension to real-time monitoring (implied but not detailed).
Integration with more wearable devices (e.g., smartwatches).</t>
  </si>
  <si>
    <t>Pressure sensors (for sleep posture and quality monitoring)</t>
  </si>
  <si>
    <t>Flexible resistive elements (Uneo Inc. GD25-100N)</t>
  </si>
  <si>
    <t>GD25-100N (by Uneo Inc.)</t>
  </si>
  <si>
    <t>Smart mattress (pressure-sensing matrix)</t>
  </si>
  <si>
    <t>220 sensors (20 × 11 matrix)</t>
  </si>
  <si>
    <t>185 cm × 95 cm (sensing area)</t>
  </si>
  <si>
    <t>Resistive pressure sensing (0–100 N range, linearity &gt;99%)</t>
  </si>
  <si>
    <t>Mattress surface (evenly distributed at 8 cm intervals)</t>
  </si>
  <si>
    <t>Pressure distribution data (from sensor matrix)</t>
  </si>
  <si>
    <t>Yes (data transmitted to PC for analysis, potential for remote monitoring)</t>
  </si>
  <si>
    <t>Not explicitly mentioned (implied for clinical use).</t>
  </si>
  <si>
    <t>Yes (sleep quality assessment report with parameters like time in bed, posture, etc.)</t>
  </si>
  <si>
    <t>Supine (face up)
Prone (face down)
Left lateral (face left)
Right lateral (face right)</t>
  </si>
  <si>
    <t>TI MSP430G2553 microcontroller (for sensor data acquisition)</t>
  </si>
  <si>
    <t>CNN (for sleep posture recognition)
SVM (for sitting/lying posture classification)
Fuzzy inference (for sleep quality assessment)</t>
  </si>
  <si>
    <t>18 subjects (laboratory training)
2 subjects (home testing, 6 nights total)</t>
  </si>
  <si>
    <t>36,000 augmented samples (for CNN training)
153,307 seconds of home test data</t>
  </si>
  <si>
    <t>SVM: 97.13% (sitting), 100% (lying)
CNN: 80.31% (face down) to 98.04% (face up)</t>
  </si>
  <si>
    <t>SVM: 99.986% (sitting/lying)
CNN: 96.987% (sleep postures)</t>
  </si>
  <si>
    <t>SVM: 98.64% (sitting), 99.99% (lying)
CNN: 96.54% (face up) to 100% (face down)</t>
  </si>
  <si>
    <t>SVM: 97.88% (sitting), 99.99% (lying)
CNN: 89.08% (face down) to 97.40% (face right)</t>
  </si>
  <si>
    <t>Noise filtering (thresholding required for pressure data).
Limited physiological monitoring (cannot replace PSG).
Scalability to infants (training data lacks infant postures).</t>
  </si>
  <si>
    <t>Integration with physiological sensors (e.g., heart rate, SpO₂).
Extension to infant monitoring (collect infant-specific data).
Real-time clinical applications (complementing PSG).</t>
  </si>
  <si>
    <t>Thermopile array sensing element</t>
  </si>
  <si>
    <t>Long-wave infrared (8–14 µm wavelength band)</t>
  </si>
  <si>
    <t>Lepton 3.5 (Teledyne Technologies, Wilsonville, OR, USA)</t>
  </si>
  <si>
    <t>USB heating pads (TSA1000125eR1.06, Taiwan KLC PTC Co. Ltd., Taichung, Taiwan) installed on the four corners of the bed</t>
  </si>
  <si>
    <t>1 thermopile array sensor
4 USB heating pads (for bed position detection)</t>
  </si>
  <si>
    <t>Thermal imaging (infrared radiation detection)</t>
  </si>
  <si>
    <t>Ceiling directly above the bed (2.5 m from the bed surface)</t>
  </si>
  <si>
    <t>Thermal images (160 × 120 pixels resolution)</t>
  </si>
  <si>
    <t>Yes (Wi-Fi transmission of fall events to central control terminal)</t>
  </si>
  <si>
    <t>Fall events transmitted via Wi-Fi for warning</t>
  </si>
  <si>
    <t>12 postures</t>
  </si>
  <si>
    <t>Standing, sitting, falling, and nine sleeping postures (lying upright, lying in a star shape, lying on the stomach, lying on the left side, lying on the left side with arms open, lying on the left side with a curved body, lying on the right side, lying on the right side with arms open, lying on the right side with a curved body)</t>
  </si>
  <si>
    <t>AI development board (Sipeed Maix GO, Sipeed Technology, Shenzhen, China)
AI chip: Kendryte K210 (Canaan Inc., Beijing, China)
Wi-Fi chip: ESP8285 (Espressif Systems, Shanghai, China)</t>
  </si>
  <si>
    <t>YOLO-LW (lightweight YOLO v3-tiny variant)
Posture classification correction using bounding box features
Quantized to INT 8 precision format for edge deployment</t>
  </si>
  <si>
    <t>1.5 W (total system power consumption)
AI chip: 0.3 W</t>
  </si>
  <si>
    <t>10 participants (5 men, 5 women; average age 49.9 ± 20.7 years)
10,802 images (standing: 2,702; sitting: 2,698; falling: 2,699; sleeping postures: 2,703)</t>
  </si>
  <si>
    <t>Quantized YOLO-LW model: 3.58 MB</t>
  </si>
  <si>
    <t>94.52% (final-stage posture)</t>
  </si>
  <si>
    <t>94.56% (final-stage posture)</t>
  </si>
  <si>
    <t>94.33% (final-stage posture)</t>
  </si>
  <si>
    <t>94.54% (final-stage posture)</t>
  </si>
  <si>
    <t>Thick quilts may obscure body temperature, affecting posture recognition.
Sensor must be installed directly above the bed, which may cause user discomfort.</t>
  </si>
  <si>
    <t>Evaluate different capture angles to reduce user unease.
Address limitations with thick quilts.</t>
  </si>
  <si>
    <t>Accelerometer (3-axis)</t>
  </si>
  <si>
    <t>Not explicitly mentioned (likely MEMS-based accelerometer)</t>
  </si>
  <si>
    <t>Koala (Bluetooth Low Energy/BLE device, range: ±2G in X/Y/Z axes)</t>
  </si>
  <si>
    <t>Wristband (for monitoring) and chest strap (for training)</t>
  </si>
  <si>
    <t>2 during training (chest + wrist)
1 during monitoring (wrist only)</t>
  </si>
  <si>
    <t>Not applicable (wearable sensors, no pressure mat used)</t>
  </si>
  <si>
    <t>Training: Chest (reference) and wrist (feature extraction)
Monitoring: Wrist only</t>
  </si>
  <si>
    <t>3-axis accelerometer data (sampling rate: 100 Hz, adjustable)</t>
  </si>
  <si>
    <t xml:space="preserve">
Yes (Android smartphone as gateway, BLE for sensor communication)</t>
  </si>
  <si>
    <t>Not explicitly mentioned (assumed to be processed on server/smartphone)</t>
  </si>
  <si>
    <t>4 sleep postures + 1 upright (standing/sitting) posture</t>
  </si>
  <si>
    <t>Supine, stomach, right side, left side, upright</t>
  </si>
  <si>
    <t>Android smartphone (data collection/gateway)
Server (model training and posture prediction)</t>
  </si>
  <si>
    <t>Random Forest (10 decision trees)
Feature extraction: Sliding window (1-second window) + mean acceleration on X/Y/Z axes</t>
  </si>
  <si>
    <t>Koala sensor operates &gt;5 hours at 100 Hz (lower sampling rates extend battery life)</t>
  </si>
  <si>
    <t>Training data:
3 minutes per posture (supine, stomach, right side, left side, upright)
10 posture transitions
Testing data: Separate from training (accuracy &gt;90% except for stomach posture)</t>
  </si>
  <si>
    <t>Not explicitly mentioned (overall accuracy provided)</t>
  </si>
  <si>
    <t>&gt;90% (except for stomach posture, which had lower accuracy)</t>
  </si>
  <si>
    <t>Stomach posture recognition accuracy lower than other postures.
Wrist sensor placement may not capture all body movements accurately.
Training phase requires dual-sensor setup (chest + wrist).</t>
  </si>
  <si>
    <t>Not explicitly mentioned, but implied:
Optimize single-sensor (wrist) accuracy for all postures.
Extend to more postures or dynamic posture transitions.
Improve battery life for long-term monitoring.**</t>
  </si>
  <si>
    <t>Monocular camera (vision-based, no physical sensors used)</t>
  </si>
  <si>
    <t>Not applicable (computer vision-based approach)</t>
  </si>
  <si>
    <t>Not applicable (uses YOLO and OpenPose algorithms for processing)</t>
  </si>
  <si>
    <t>Not applicable (no wearable or contact sensors)</t>
  </si>
  <si>
    <t>1 camera (overhead perspective)</t>
  </si>
  <si>
    <t>Computer vision (YOLO for object detection, OpenPose for pose estimation)</t>
  </si>
  <si>
    <t>Overhead perspective (exact height not specified)</t>
  </si>
  <si>
    <t>Images (resolution rescaled to 432 × 576 for processing)</t>
  </si>
  <si>
    <t>Not explicitly mentioned (assumed offline processing)</t>
  </si>
  <si>
    <t>4 basic postures + 2 refined supine postures (total 6)</t>
  </si>
  <si>
    <t>Basic: Supine, prone, left lateral, right lateral
Refined supine (for OSAHS patients): Sideways head, perpendicular head</t>
  </si>
  <si>
    <t>BP Neural Network (1 input layer, 4 hidden layers, 1 output layer)
Framework: Keras</t>
  </si>
  <si>
    <t>YOLO (object detection)
OpenPose (human pose estimation, 18 key points)
BP Neural Network (classification)</t>
  </si>
  <si>
    <t>Not explicitly mentioned (assumed standard computational costs for vision algorithms)</t>
  </si>
  <si>
    <t>1,200 images (300 per basic posture, 250 training + 50 testing per posture)
Additional refinement for supine posture (OSAHS scenario)</t>
  </si>
  <si>
    <t>95% (basic postures)
97% (refined supine postures for OSAHS)</t>
  </si>
  <si>
    <t>Not explicitly mentioned (binary classifier recall: 96.5%)</t>
  </si>
  <si>
    <t>97.4% (binary classifier)</t>
  </si>
  <si>
    <t>Complex backgrounds may reduce pose estimation accuracy.
Limited to overhead camera perspective (may miss occluded postures).
No real-time implementation details provided.</t>
  </si>
  <si>
    <t>Explore more complex human pose estimation models.
Extend to dynamic posture transitions and real-time monitoring.
Apply to broader medical scenarios beyond OSAHS.</t>
  </si>
  <si>
    <t>SC1221AR3 (produced by Socionext)</t>
  </si>
  <si>
    <t xml:space="preserve"> Radar sensing module (integrates antennas, radio, and digital baseband)</t>
  </si>
  <si>
    <t>Not applicable (sensor installed on the wall)</t>
  </si>
  <si>
    <t>60-GHz millimeter-wave SISO radar with 6.8-GHz continuous bandwidth</t>
  </si>
  <si>
    <t>Installed on the wall, 0.8 m above the bed, main lobe 45° downward</t>
  </si>
  <si>
    <t xml:space="preserve"> Radar echo signals</t>
  </si>
  <si>
    <t xml:space="preserve"> 3 sleep postures (supine, lateral, prone) and 7 sleep postural conversions (SPCs)</t>
  </si>
  <si>
    <t xml:space="preserve"> Supine, lateral, prone; SPCs: SULA, SUPR, LASU, LALA, LAPR, PRSU, PRLA</t>
  </si>
  <si>
    <t xml:space="preserve"> Interactive Learning of Ultra-Long Short-Term Information (IL-ULSTI)</t>
  </si>
  <si>
    <t>Low computational complexity (suitable for edge devices)</t>
  </si>
  <si>
    <t>16 volunteers (9 males, 7 females), 660 samples</t>
  </si>
  <si>
    <t>660 samples (209 supine, 262 lateral, 189 prone)</t>
  </si>
  <si>
    <t>91% for sleep posture recognition; 83.7% for SPC classification</t>
  </si>
  <si>
    <t>1) Limited attention to SPC; 2) Need for low computational complexity; 3) Weak generalization ability due to high sensitivity of radar signals</t>
  </si>
  <si>
    <t>Flexible piezoresistive array sensor</t>
  </si>
  <si>
    <t>Not explicitly mentioned (likely polymer-based piezoresistive material)</t>
  </si>
  <si>
    <t>Not explicitly mentioned (custom 64 × 32 pixel array)</t>
  </si>
  <si>
    <t>Mattress (below fabric layer, covering shoulder to thigh area)</t>
  </si>
  <si>
    <t>1 array (64 × 32 = 2,048 individual sensing elements)</t>
  </si>
  <si>
    <t>100 cm × 60 cm (shoulder to thigh coverage)</t>
  </si>
  <si>
    <t>Piezoresistive pressure sensing (analog-to-digital resolution: 512 levels)</t>
  </si>
  <si>
    <t>Embedded in mattress (excludes head and lower leg areas to reduce noise)</t>
  </si>
  <si>
    <t>Body pressure distribution images (2D matrix, 64 × 32 pixels)</t>
  </si>
  <si>
    <t>Supine (S), Prone (P), Left lying (LL), Right lying (RL), Left fetal lying (LF), Right fetal lying (RF)</t>
  </si>
  <si>
    <t>Support Vector Machine (SVM) with KPCA feature extraction</t>
  </si>
  <si>
    <t>Kernel Principal Component Analysis (KPCA) for feature reduction
Multiclass SVM (One-vs-One strategy) for classification</t>
  </si>
  <si>
    <t>360 samples (60 people × 6 postures)
Training: 40 people (240 samples)
Testing: 20 people (120 samples)</t>
  </si>
  <si>
    <t>Original: 64 × 32 matrix (2,048 dimensions)
After KPCA: Reduced to 16 principal components (96% cumulative variance)</t>
  </si>
  <si>
    <t>95.6–97.4% (per posture, see Table II in the paper)</t>
  </si>
  <si>
    <t>96.5% (average)</t>
  </si>
  <si>
    <t>95.2–97.4% (per posture, see Table II)</t>
  </si>
  <si>
    <t>High hardware cost (pressure sensor array covering large mattress area).
Exclusion of head and lower leg data may limit posture granularity.
Non-real-time processing (offline training and testing).</t>
  </si>
  <si>
    <t>Not explicitly mentioned, but implied:
Reduce sensor cost/complexity for broader adoption.
Extend to real-time monitoring and dynamic posture transitions.
Incorporate additional sensors (e.g., temperature, humidity) for holistic sleep analysis.</t>
  </si>
  <si>
    <t xml:space="preserve">TagSleep3D: RF-based 3D Sleep Posture Skeleton Recognition
</t>
  </si>
  <si>
    <t>LIU</t>
  </si>
  <si>
    <t xml:space="preserve">RFID (Radio Frequency Identification)
</t>
  </si>
  <si>
    <t>Not explicitly mentioned (tags are attached to a plastic film)</t>
  </si>
  <si>
    <t>RFID tag array deployed under the bedsheet</t>
  </si>
  <si>
    <t xml:space="preserve"> 588 tags for a queen bed, 728 tags for a king bed</t>
  </si>
  <si>
    <t>Varies with bed size (twin, queen, king)</t>
  </si>
  <si>
    <t>RFID tag array with backscattered signals (RSSI and phase measurements)</t>
  </si>
  <si>
    <t xml:space="preserve"> Under the bedsheet; antenna placed on the ceiling above the bed</t>
  </si>
  <si>
    <t>RSSI (Received Signal Strength Indicator) and phase measurements</t>
  </si>
  <si>
    <t>Not explicitly stated (focus on 3D skeleton recognition)</t>
  </si>
  <si>
    <t>Supine, prone, left log, right log, left foetus, right foetus</t>
  </si>
  <si>
    <t>Deep learning model with attention mechanism and CNN</t>
  </si>
  <si>
    <t>Passive RFID tags (no wired power supply)</t>
  </si>
  <si>
    <t>43 users, 27,300 sleep posture samples</t>
  </si>
  <si>
    <t xml:space="preserve"> 27,300 samples</t>
  </si>
  <si>
    <t>Median MPJPE (Mean Per Joint Position Error): 4.76 cm (seen users), 7.58 cm (unseen users)</t>
  </si>
  <si>
    <t>1) Recovering 3D information from 2D RSSI/phase images; 2) Low-resolution body imprints; 3) Robustness across users and environments</t>
  </si>
  <si>
    <t xml:space="preserve"> 1) Improving recognition of small body parts; 2) Extending to multiple users; 3) Handling non-static periods; 4) Enhancing data augmentation</t>
  </si>
  <si>
    <t>Fabric-based pressure sensors (conductive cloth + memory foam)</t>
  </si>
  <si>
    <t>Conductive fabric and memory foam</t>
  </si>
  <si>
    <t>Not explicitly mentioned (custom 14-sensor array)</t>
  </si>
  <si>
    <t>Smart fabric pad (resembling a mattress topper)</t>
  </si>
  <si>
    <t>14 pressure sensors (arranged in 4 rows: 5 in Row 1, 3 each in Rows 2–4)</t>
  </si>
  <si>
    <t>Not explicitly stated (sensors placed in 15 cm × 15 cm grid segments)</t>
  </si>
  <si>
    <t>Resistive pressure sensing (analog output, 12-bit resolution: 0–4095)</t>
  </si>
  <si>
    <t>Embedded in a fabric pad placed on the bed (shoulder to waist coverage)</t>
  </si>
  <si>
    <t>Body pressure distribution (graded into 4 levels: 0–3)</t>
  </si>
  <si>
    <t>Yes (Raspberry Pi 3 B+ for data processing)</t>
  </si>
  <si>
    <t>9 postures (6 basic + 3 refined, e.g., Freefaller vs. Starfish)</t>
  </si>
  <si>
    <t>Basic: Foetus (left/right), Log (left/right), Yearner (left/right), Freefaller, Starfish
Refined: Supine/prone variations (e.g., Postures 7–9 in the paper)</t>
  </si>
  <si>
    <t>Raspberry Pi 3 B+</t>
  </si>
  <si>
    <t>Rule-based classification using pressure distribution:
Grade-based thresholds (0–3) for sensor signals
Row-wise pressure sums (SumRGV) and averages (AvgRGV)
Pressure ratios (PR) to distinguish similar postures (e.g., Freefaller vs. Starfish)</t>
  </si>
  <si>
    <t>100 samples per posture (total 900 samples from 1 subject)
Subject: 26-year-old male (176.8 cm, 62.1 kg)</t>
  </si>
  <si>
    <t>14 sensors × 12-bit values per sample</t>
  </si>
  <si>
    <t>Not explicitly mentioned (accuracy per posture: 88–99%)</t>
  </si>
  <si>
    <t>91.4% (average)</t>
  </si>
  <si>
    <t>Lower accuracy (88%) for side-lying postures due to arm position variability.
Limited sensor coverage may miss limb positions.
Single-subject validation limits generalizability.</t>
  </si>
  <si>
    <t>Increase sensor count/layout optimization for better limb tracking.
Multi-subject testing to improve algorithm robustness.
Integration with real-time monitoring systems.</t>
  </si>
  <si>
    <t xml:space="preserve">Low-cost plastic optical fiber sensor embedded in mattress for sleep
performance monitoring </t>
  </si>
  <si>
    <t>Pengfei Han</t>
  </si>
  <si>
    <t>Plastic optical fiber (POF) pressure sensor</t>
  </si>
  <si>
    <t>Plastic optical fiber (cladding diameter: 1000 µm, core diameter: 980 µm, outer diameter: 2200 µm)</t>
  </si>
  <si>
    <t>Not explicitly mentioned (commercial POF with custom modifications)</t>
  </si>
  <si>
    <t>Not explicitly mentioned (implied single sensor or array)</t>
  </si>
  <si>
    <t>Light intensity modulation</t>
  </si>
  <si>
    <t xml:space="preserve"> Embedded in mattress, placed near the heart (fifth rib)</t>
  </si>
  <si>
    <t>Body pressure causing fiber bending and light intensity changes</t>
  </si>
  <si>
    <t>Data sent to host computer via Bluetooth</t>
  </si>
  <si>
    <t>4 (supine, left-side, right-side, prone)</t>
  </si>
  <si>
    <t>Supine, left-side, right-side, prone</t>
  </si>
  <si>
    <t>Microcomputer (MCU)</t>
  </si>
  <si>
    <t>Welch method for power spectral density estimation, peak detection in respiratory (0.1–0.5 Hz) and heart rate (0.7–3 Hz) bands</t>
  </si>
  <si>
    <t>10 participants</t>
  </si>
  <si>
    <t>30,000 points per 30-second sample</t>
  </si>
  <si>
    <t>Absolute error &lt;1 breath/minute (BR), &lt;2 beats/minute (HR); max relative errors 6.7% (BR), 2.4% (HR)</t>
  </si>
  <si>
    <t xml:space="preserve"> Weak heartbeat signal in certain postures (e.g., right-side), movement interference</t>
  </si>
  <si>
    <t>Improve algorithm to mitigate movement effects, extend to chair-based monitoring for long-duration sitting.</t>
  </si>
  <si>
    <t>Air pressure sensor</t>
  </si>
  <si>
    <t>Customized Wheatstone Bridge Varistor</t>
  </si>
  <si>
    <t>RSCM17100KP (0–100 kPa)</t>
  </si>
  <si>
    <t>Air spring mattress</t>
  </si>
  <si>
    <t>121 branch air paths (trunk region arranged in an 11×11 matrix)</t>
  </si>
  <si>
    <t>Not explicitly mentioned, but the trunk region is divided into 11×11 air springs.</t>
  </si>
  <si>
    <t>Air pressure sensors measure resistance changes to calculate pressure.</t>
  </si>
  <si>
    <t>Embedded in the main air path of the mattress, with each branch path connected to a solenoid valve.</t>
  </si>
  <si>
    <t>Equilibrium air pressure changes caused by sleep postures.</t>
  </si>
  <si>
    <t>Not explicitly mentioned, but the system includes embedded control units (STM32 and STC15F2K6052 chips) for data processing and communication.</t>
  </si>
  <si>
    <t>Alarm module with a buzzer and LED to indicate air leakage.</t>
  </si>
  <si>
    <t>2 (supine and lateral)</t>
  </si>
  <si>
    <t>Supine
Lateral (left/right, including fetal, trunk, and yearning postures, but treated as one class for spinal alignment purposes)</t>
  </si>
  <si>
    <t>Central control unit: STM32F103RCT6
Subordinate control units: STC15F2K6052</t>
  </si>
  <si>
    <t>Primary Model: Convolutional Neural Network (CNN)
Comparison Models: CNN-SVM fusion, ResNet50
Optimization: Sparrow Search Algorithm (SSA) for hyperparameter tuning (SSA-CNN)
Preprocessing: Gaussian and adaptive filtering of air pressure matrices converted to grayscale images</t>
  </si>
  <si>
    <t>Train Dataset: 2,080 images (augmented from 1,040 original images via flipping).
Test Dataset: 264 images (132 supine + 132 lateral, augmented via flipping and rotation).
Subjects: 26 healthy participants (underweight, standard, overweight BMI categories).</t>
  </si>
  <si>
    <t>11×11 grayscale images (derived from air pressure matrices).</t>
  </si>
  <si>
    <t xml:space="preserve"> Not explicitly stated, but F1-score implies high precision.</t>
  </si>
  <si>
    <t xml:space="preserve"> 0.992 (SSA-CNN optimized model).</t>
  </si>
  <si>
    <t>1.0 (for supine posture in CNN model).</t>
  </si>
  <si>
    <t>0.992 (SSA-CNN), 0.981 (baseline CNN).</t>
  </si>
  <si>
    <t>Noise in air pressure signals requires filtering.
Limited to static postures; continuous posture transitions not addressed.
Prone posture excluded due to health concerns.
Overnight performance not validated.</t>
  </si>
  <si>
    <t>Extend to overnight sleep monitoring.
Develop continuous posture recognition (dynamic transitions).
Explore YOLO models for occlusion handling.
Integrate spinal alignment measurement without additional sensors.</t>
  </si>
  <si>
    <t>Inertial Measurement Unit (IMU) sensors (accelerometers)</t>
  </si>
  <si>
    <t>Wristbands and chestband (for proof-of-concept).</t>
  </si>
  <si>
    <t>Primary System: 2 IMUs (one per wristband).
Proof-of-Concept: Additional 2 IMUs in the chestband (1 wireless, 1 wired).</t>
  </si>
  <si>
    <t>Not applicable (wearable system, not mattress-based).</t>
  </si>
  <si>
    <t>IMU sensors (3-axis accelerometers for motion tracking).</t>
  </si>
  <si>
    <t>Primary: Both wrists (wearable wristbands).
Validation: Chest (temporary chestband for ground-truth data).</t>
  </si>
  <si>
    <t>Motion data from wrist-worn IMUs.</t>
  </si>
  <si>
    <t>Wireless communication between wristbands and receiver (part of the embedded system).</t>
  </si>
  <si>
    <t>Vibration feedback via motors in wristbands when poor sleep posture (supine) is detected.</t>
  </si>
  <si>
    <t>Not explicitly mentioned, but sleep position data is collected and analyzed.</t>
  </si>
  <si>
    <t>2 (supine and side).</t>
  </si>
  <si>
    <t>Supine (lying on back).
Side (lateral, left or right).</t>
  </si>
  <si>
    <t>Main Controller: Embedded system in wristbands (Tinyduino mentioned for chestband).
Processing: VGG-16 deep learning model for posture classification.</t>
  </si>
  <si>
    <t>Primary: VGG-16 deep learning model trained on motion data.
Threshold-Based: Heuristic thresholds for real-time supine detection in the chestband.</t>
  </si>
  <si>
    <t>Not explicitly mentioned, but battery-powered wristbands are used.</t>
  </si>
  <si>
    <t>Training Data: Motion data from a pilot experiment (previous work, SleepS).
Test Data: On-site sleep data from 4 participants over 2 days (601 motion samples).</t>
  </si>
  <si>
    <t>Not explicitly stated, but 601 motion samples were used for evaluation.</t>
  </si>
  <si>
    <t>80% for posture classification (supine vs. side).</t>
  </si>
  <si>
    <t>Sensing noise with a single wristband (mitigated by using two wristbands).
Discomfort of chestband (addressed by focusing on wristbands for final design).
Limited to binary posture classification (supine vs. side).</t>
  </si>
  <si>
    <t>Develop an optimal tracking algorithm accounting for individual sleep patterns.
Integrate functions (tracking + feedback) into a single wristband device.
Clinical testing with actual sleep disorder patients.</t>
  </si>
  <si>
    <t>Microphones and speakers (acoustic sensors).</t>
  </si>
  <si>
    <t>Pillow Outer: Knitted fabric.
Pillow Inner: Latex foam (&gt;80%) and memory foam.</t>
  </si>
  <si>
    <t>Pillow (non-wearable).</t>
  </si>
  <si>
    <t>Microphones: 4
Speakers: 2</t>
  </si>
  <si>
    <t>Pillow dimensions: 720 mm × 410 mm × 115 mm (divided into 5 areas of 144 mm each).</t>
  </si>
  <si>
    <t>Acoustic sensing via sound wave transmission through latex foam; deformation alters sound characteristics.</t>
  </si>
  <si>
    <t>Embedded in a cross-section inside the pillow (70 mm from the bottom).</t>
  </si>
  <si>
    <t>Sound signals (200 Hz fixed-frequency or soft music) transmitted through the pillow, altered by head pressure.</t>
  </si>
  <si>
    <t>Connected to a PC for data processing (real-time classification not specified).</t>
  </si>
  <si>
    <t>Not explicitly mentioned (focus on monitoring, not real-time feedback).</t>
  </si>
  <si>
    <t>2 (supine and lateral).</t>
  </si>
  <si>
    <t>Supine
Lateral (left/right)</t>
  </si>
  <si>
    <t>PC-based processing (no embedded controller mentioned).</t>
  </si>
  <si>
    <t>Preprocessing: Normalization, sliding window (0.5 s, 75% overlap), time/frequency-domain feature extraction (e.g., FFT, cross-correlation).
Classification: 7-layer fully connected neural network (softmax output, Adam optimizer).
Performance Metrics: K-means clustering for feature reduction.</t>
  </si>
  <si>
    <t>Not explicitly mentioned (PC-dependent).</t>
  </si>
  <si>
    <t>Data Sources:
No sound (control).
200 Hz fixed-frequency sound.
Soft music.
Samples: 960 per sound source (0.5 s windows, 120 s recordings per posture/area combination).</t>
  </si>
  <si>
    <t>41 features per sample (4 channels × 10 time/frequency features + 1 correlation ID).</t>
  </si>
  <si>
    <t>Posture Accuracy: 91.1% (supine &gt; lateral).
Position Accuracy: 98.3%.
Overall Accuracy: 88.2%.
Confusion Matrices: Provided for posture/position (lateral misclassification higher, especially in Area 4).</t>
  </si>
  <si>
    <t>Lower accuracy for lateral postures (71.88% in Area 4).
Dependency on latex properties (density/pore structure).
Limited to head posture (no full-body tracking).</t>
  </si>
  <si>
    <t>Integration with hypnotic music for insomnia relief.
Expansion to smart home systems (e.g., automated lighting/adjustments).
Improved classification for lateral postures.</t>
  </si>
  <si>
    <t>Plastic optical fiber (diameter: 2.2 mm, core diameter: 2 mm)</t>
  </si>
  <si>
    <t>Custom-designed with Lamiya Emergent Mechanism Spring (LEMS)</t>
  </si>
  <si>
    <t>Overall thickness: 7 mm (sensor thickness: 6.9 mm)</t>
  </si>
  <si>
    <t>Light intensity modulation with prismatic-tip optical fiber and mirrors</t>
  </si>
  <si>
    <t>Herringbone arrangement in mattress (targeting pressure points for posture detection)</t>
  </si>
  <si>
    <t>Body pressure causing displacement of LEMS and light intensity changes</t>
  </si>
  <si>
    <t>Wireless transmission via WiFi (ESP8266) and Bluetooth (HC-06); data sent to cloud platform (OneNET) and mobile app</t>
  </si>
  <si>
    <t>Not explicitly mentioned (implied real-time monitoring via mobile/cloud alerts)</t>
  </si>
  <si>
    <t>Logs sleeping postures with timestamps; displayed on QT-based monitoring center software</t>
  </si>
  <si>
    <t>Supine (Sp), Left log (Ll), Left fetal (Lf), Prone (P), Right log (Rl), Right fetal (Rf)</t>
  </si>
  <si>
    <t>STM32F103C8T6 MCU</t>
  </si>
  <si>
    <t>Whale Optimization Algorithm-optimized Support Vector Machine (WOA-SVM)</t>
  </si>
  <si>
    <t>6 healthy subjects (5 males, 1 female)</t>
  </si>
  <si>
    <t>Not explicitly mentioned (8-channel sensor data sampled in real-time)</t>
  </si>
  <si>
    <t>Not explicitly mentioned (implied high per-posture accuracy)</t>
  </si>
  <si>
    <t>96.6% (average for 6 postures)</t>
  </si>
  <si>
    <t>Sensitivity consistency issues due to manual packaging errors.
Lower accuracy for Prone (P) posture (81.2%).
Requires larger training dataset for Prone posture improvement.</t>
  </si>
  <si>
    <t>Improve sensor packaging process to reduce light intensity loss.
Expand training data for underrepresented postures (e.g., Prone).
Enhance real-time monitoring for clinical applications (e.g., heart failure rehabilitation).</t>
  </si>
  <si>
    <t>Millimeter-wave (mmWave) wireless sensor</t>
  </si>
  <si>
    <t>Not specified (commodity mmWave transceivers)</t>
  </si>
  <si>
    <t xml:space="preserve"> Custom setup with 2 transceivers (3 Tx + 4 Rx antennas each)</t>
  </si>
  <si>
    <t>Not embedded (external setup near the bed)</t>
  </si>
  <si>
    <t>2 transceivers (24 receive channels total)</t>
  </si>
  <si>
    <t>Not applicable (bed-agnostic monitoring)</t>
  </si>
  <si>
    <t>Frequency-Modulated Continuous Wave (FMCW) radar (77 GHz, 1.6 GHz bandwidth)</t>
  </si>
  <si>
    <t>Mounted in a bedroom corner (like a router)</t>
  </si>
  <si>
    <t>mmWave reflections from human body (spatial and temporal signatures)</t>
  </si>
  <si>
    <t>Yes (potential integration with future mmWave routers)</t>
  </si>
  <si>
    <t>Not explicitly mentioned (implied posture logs for medical professionals)</t>
  </si>
  <si>
    <t>Supine, Left lateral, Left fetal, Right lateral, Right fetal</t>
  </si>
  <si>
    <t>Not specified (custom CNN-LSTM model runs on a computing platform)</t>
  </si>
  <si>
    <t>Custom CNN-LSTM (Convolutional Neural Network + Long Short-Term Memory)</t>
  </si>
  <si>
    <t>Not specified (mmWave devices typically low-power)</t>
  </si>
  <si>
    <t>7 volunteers, 112,586 frames (RGB-D camera for ground truth)</t>
  </si>
  <si>
    <t>11 trials per volunteer (~1,500 frames per trial)</t>
  </si>
  <si>
    <t>73.45% (best, with 10-frame samples)</t>
  </si>
  <si>
    <t>0.69 (best, with 10-frame samples)</t>
  </si>
  <si>
    <t>Lower accuracy with longer sequences (e.g., 58.04% for 100-frame samples).
Limited posture diversity (only 5 postures tested).
No real-time posture transition detection (static postures only).</t>
  </si>
  <si>
    <t>Expand dataset (more volunteers and postures).
Detect posture transitions (dynamic monitoring).
Integration with commercial mmWave routers (ubiquitous deployment).</t>
  </si>
  <si>
    <t>Beyond Respiration: Contactless Sleep Sound-Activity Recognition Using RF Signals</t>
  </si>
  <si>
    <t>RFID tags</t>
  </si>
  <si>
    <t>Not specified (commercial COTS RFID hardware)</t>
  </si>
  <si>
    <t>Impinj R420 RFID reader, Alien tags</t>
  </si>
  <si>
    <t>Not embedded; deployed near the user (on walls or furniture)</t>
  </si>
  <si>
    <t>3 RFID tags</t>
  </si>
  <si>
    <t>Not applicable (tags are not embedded in a mat)</t>
  </si>
  <si>
    <t>Deployed near the bed (on walls, furniture, or nightstands)</t>
  </si>
  <si>
    <t>RF signals (phase and amplitude variations caused by chest/abdomen movements)</t>
  </si>
  <si>
    <t>Yes (RFID reader connected to a laptop for data processing)</t>
  </si>
  <si>
    <t>Supine, prone, left lateral, right lateral</t>
  </si>
  <si>
    <t>Laptop with 2.5 GHz CPU and 8 GB memory</t>
  </si>
  <si>
    <t>Random Forest, SVM, KNN, Decision Tree, Naive Bayes, Adaboost, BPnet (Random Forest performed best)</t>
  </si>
  <si>
    <t>Data collected from 30 users (13 males, 17 females) over 2 months</t>
  </si>
  <si>
    <t>98.81% (sleep posture), 97.27% (sleep sound-activity)</t>
  </si>
  <si>
    <t>98.94% (sleep posture), 96.58% (sleep sound-activity)</t>
  </si>
  <si>
    <t>98.97% (sleep posture), 96.58% (sleep sound-activity)</t>
  </si>
  <si>
    <t>98.86% (sleep posture), 96.32% (sleep sound-activity)</t>
  </si>
  <si>
    <t>Obtaining fine-grained respiration information.
Deploying minimal RFID tags for full coverage.
Selecting effective features from phase measurements.
Achieving robust recognition across different sleep postures.</t>
  </si>
  <si>
    <t>Exploring tag deployment strategies without relying on walls/furniture.
Extending to multi-user scenarios.
Identifying sleep stages and other activities (e.g., bruxism).
Improving accuracy across diverse users and environments using advanced machine learning.</t>
  </si>
  <si>
    <t>Wet-Ra: Monitoring Diapers Wetness with Wireless Signals</t>
  </si>
  <si>
    <t>RF (Radio Frequency) signals
mmWave radar</t>
  </si>
  <si>
    <t>Commercial off-the-shelf (COTS) mmWave radar</t>
  </si>
  <si>
    <t>IWR1443BOOST (mmWave radar)
DCA1000EVM (data streaming device)</t>
  </si>
  <si>
    <t>Not embedded in diapers (contactless monitoring)</t>
  </si>
  <si>
    <t>1 radar device</t>
  </si>
  <si>
    <t>Not applicable (no physical mat used)</t>
  </si>
  <si>
    <t>Frequency Modulated Continuous Wave (FMCW) radar
Continuous-Radio-Snapshot (CRS) for signal representation</t>
  </si>
  <si>
    <t>Placed beside or under the bed (tested in 7 different rooms)</t>
  </si>
  <si>
    <t>Reflected RF signals from diapers</t>
  </si>
  <si>
    <t>Connected via 1-Gbps Ethernet (data streamed to a computer)</t>
  </si>
  <si>
    <t>Not explicitly mentioned (assumed to be notifications via connected devices)</t>
  </si>
  <si>
    <t>Real-time monitoring with high accuracy</t>
  </si>
  <si>
    <t>4 postures tested (supine, prone, left side, right side)</t>
  </si>
  <si>
    <t>Supine, prone, facing left, facing right</t>
  </si>
  <si>
    <t>MacBook with Intel Core i5 CPU (for offline processing)</t>
  </si>
  <si>
    <t>Wavelet Multisynchrosqueezing Transform (WMSST)
Heuristic Domain Adaptation Network (transfer learning)
Background noise elimination</t>
  </si>
  <si>
    <t>47 volunteers (11 females, 36 males, ages 18–34)
7 different rooms
3 diaper brands (Depend, Tena, Lifree)
787,200 samples collected</t>
  </si>
  <si>
    <t>787,200 samples</t>
  </si>
  <si>
    <t>&gt;95% (varies by scenario)</t>
  </si>
  <si>
    <t>&gt;95% (average 99.73% in some scenarios)</t>
  </si>
  <si>
    <t>High (specific values not provided)</t>
  </si>
  <si>
    <t>Extracting informative representations from RF signals
Eliminating multi-path interference
Adapting to new users and environments</t>
  </si>
  <si>
    <t>Flexible capacitive pressure sensor</t>
  </si>
  <si>
    <t>Three-layer structure: upper and lower electrode layers with an ionic gel layer as the dielectric</t>
  </si>
  <si>
    <t>Self-designed large-area capacitive pressure sensor (64x32 array)</t>
  </si>
  <si>
    <t>Mattress or bed surface</t>
  </si>
  <si>
    <t>2048 detection units (64 rows x 32 columns)</t>
  </si>
  <si>
    <t>2000 mm × 1000 mm</t>
  </si>
  <si>
    <t>Capacitive sensing (pressure changes alter capacitance)</t>
  </si>
  <si>
    <t>On the bed surface for posture detection</t>
  </si>
  <si>
    <t>Pressure distribution data from human postures</t>
  </si>
  <si>
    <t>Not explicitly mentioned, but data is transmitted to a host computer for processing</t>
  </si>
  <si>
    <t>Frontal lying down
Lying down (unspecified)
Bent leg left side lying down
Left side lying down
Bent leg right side lying down
Right side lying down
Sitting position with extended legs on the bed
Sitting position on the bed side
Sitting position with two legs on the bed side
Sitting position with crossed legs on the bed</t>
  </si>
  <si>
    <t>Data acquisition card (ARM architecture MCU)</t>
  </si>
  <si>
    <t>YOLOv5 (deep learning neural network)</t>
  </si>
  <si>
    <t>Collected from 30 participants (25 males, 5 females)</t>
  </si>
  <si>
    <t>Not explicitly mentioned, but data was split into 80% training and 20% testing sets</t>
  </si>
  <si>
    <t>Ensuring high recognition accuracy across diverse postures
Potential environmental noise in unconstrained settings (though not explicitly stated as a challenge here)</t>
  </si>
  <si>
    <t>Expand the number of experimental samples
Study real-time monitoring of sleep posture and sleep quality detection
Improve dynamic posture recognition for home-based sleep monitoring systems</t>
  </si>
  <si>
    <t>Smart mattress sensors (monitoring vital signs and sleep behavior)</t>
  </si>
  <si>
    <t>Not specified (data provided by a Beijing research institution)</t>
  </si>
  <si>
    <t>Not explicitly mentioned, but data includes variables like heart rate, breathing rate, in-bed status, and position</t>
  </si>
  <si>
    <t>Not explicitly described, but likely includes pressure and physiological sensors</t>
  </si>
  <si>
    <t>Embedded in the mattress</t>
  </si>
  <si>
    <t>Heart rate
Breathing rate
In-bed status (movement levels: large, medium, slight, no breathing, away from bed)
In-bed weight
Bed position (x and y coordinates)</t>
  </si>
  <si>
    <t>Yes (data transmitted for analysis, part of a smart senior care system)</t>
  </si>
  <si>
    <t>Not explicitly mentioned, but anomaly detection models suggest potential for alerts</t>
  </si>
  <si>
    <t>Not explicitly mentioned, but interactive visualization tools are developed for caregivers</t>
  </si>
  <si>
    <t>Not explicitly mentioned (focus on sleep apnea and physiological anomalies, not postures)</t>
  </si>
  <si>
    <t>Not applicable (focus on behavioral risks like sleep apnea and abnormal physiological data)</t>
  </si>
  <si>
    <t>Stacking (for sleep apnea detection)
Prophet (for univariate anomaly detection)
DBSCAN (for multivariate anomaly detection)</t>
  </si>
  <si>
    <t>5 elderly users (2 fully bedridden, 3 non-fully bedridden)
Data collected from smart mattresses (November 2021)
Variables: heart rate, breathing rate, in-bed status, weight, position (x, y), time</t>
  </si>
  <si>
    <t>Fully bedridden users: ~330,037 data points
Non-fully bedridden users: ~326,144 to 326,696 data points
One user had significant missing data (77.6%)</t>
  </si>
  <si>
    <t>Sleep Apnea Detection (Stacking Model):
Fully bedridden: 0.9188
Non-fully bedridden: 0.9622
Other models (e.g., Random Forest, Decision Tree) also reported precision values</t>
  </si>
  <si>
    <t>Sleep Apnea Detection (Stacking Model):
Fully bedridden: 0.8806
Non-fully bedridden: 0.9205</t>
  </si>
  <si>
    <t>Sleep Apnea Detection (Stacking Model):
Fully bedridden: 0.8543
Non-fully bedridden: 0.8883</t>
  </si>
  <si>
    <t>Sleep Apnea Detection (Stacking Model):
Fully bedridden: 0.8854
Non-fully bedridden: 0.9238</t>
  </si>
  <si>
    <t>Data quality issues (missing segments, sensor mismatches)
Variability in model performance between fully bedridden and non-fully bedridden users
Need for professional nursing experience to interpret anomaly results
Lack of comprehensive elderly data platforms in China</t>
  </si>
  <si>
    <t>Expand dataset with more users and basic information (e.g., health conditions, activity logs)
Improve data quality by addressing sensor mismatches and motivating elderly to use devices
Develop unified national data platforms for elderly care
Enhance integrated applications (e.g., combining smart mattresses with other IoT sensors like light sensors)
Optimize algorithms for real-time risk monitoring and caregiver alerts</t>
  </si>
  <si>
    <t>Pyroelectric Infrared (PIR) Sensor</t>
  </si>
  <si>
    <t>Hemispherical Fresnel lens in 8005 type</t>
  </si>
  <si>
    <t>Sensor module (includes PIR sensor and Fresnel lens)</t>
  </si>
  <si>
    <t>Pyroelectric Infrared Sensing Technology</t>
  </si>
  <si>
    <t>Installed on the ceiling, about 2 meters from the human body</t>
  </si>
  <si>
    <t>Infrared radiation emitted from the human body</t>
  </si>
  <si>
    <t>Wireless transmitter module for data transfer to a computer</t>
  </si>
  <si>
    <t>Waving left hand (M1)
Waving right hand (M2)
Waving hands (M3)
Raising left hand (M4)
Raising right hand (M5)
Raising hands (M6)
Raising left leg (M7)
Raising right leg (M8)
Rolling over to left (M9)
Rolling over to right (M10)</t>
  </si>
  <si>
    <t>Nearest neighbor algorithm based on modified Hausdorff distance</t>
  </si>
  <si>
    <t xml:space="preserve"> Collected from 10 volunteers, each repeating 10 actions 10 times (100 samples per action)</t>
  </si>
  <si>
    <t>50 valid signal sampling points per action (sampling frequency: 10Hz)</t>
  </si>
  <si>
    <t>Biggest correct classification rate reaches 83.55%</t>
  </si>
  <si>
    <t>Low recognition rate for actions M7 and M8 due to vertical plane motion.
Complex actions like M9 and M10 have lower recognition rates.
Speed detection and correct recognition rate need improvement for practical application.</t>
  </si>
  <si>
    <t>Improve the average recognition rate.
Focus on online processing to enhance practicability.</t>
  </si>
  <si>
    <t>RF (Radio Frequency) signals (e.g., Wi-Fi, mmWave, RFID)
Acoustic signals (e.g., microphones, piezoelectric ceramics)
Motion sensors (e.g., IMU, accelerometers, gyroscopes)
Biometric sensors (e.g., PPG, ECG, EMG)
Visual signals (e.g., cameras for remote PPG)</t>
  </si>
  <si>
    <t>MEMS (Microelectromechanical Systems)
Piezoelectric ceramics
Textile-based triboelectric nanogenerators (TENG)
Soft electronics encapsulated in silicone elastomer</t>
  </si>
  <si>
    <t>WiTrack, WiTrack2.0, RF-Pose3D (mmWave-based tracking)
Widar, Widar2.0 (Wi-Fi CSI-based tracking)
LiSense, PIXEL (VLC-based systems)
Vital-Radio, RF-ECG (RF-based health monitoring)
SpiroSonic (acoustic-based spirometry)</t>
  </si>
  <si>
    <t>Smartwatches, wristbands (e.g., IMU, microphones)
Clothing (e.g., RFID tags, textile TENG)
Smartphones (e.g., cameras, microphones)
Household items (e.g., LED lamps, Wi-Fi routers)</t>
  </si>
  <si>
    <t>Varies by application (e.g., single-sensor systems like ViType, multi-sensor arrays like WiTrack2.0 with multiple antennas).</t>
  </si>
  <si>
    <t>Not explicitly mentioned, but emphasis on compact, lightweight designs for wearables.</t>
  </si>
  <si>
    <t>Cross-sensing: Using one sensor to achieve functionalities of multiple sensors (e.g., RF signals for both communication and health monitoring).
Contactless sensing (e.g., mmWave for vital signs).</t>
  </si>
  <si>
    <t>Wrist, chest, ear, fingertips, ceilings, floors (context-dependent).</t>
  </si>
  <si>
    <t>Gestures, keystrokes, handwriting, voice, body movements, vital signs.</t>
  </si>
  <si>
    <t>Wi-Fi, RFID, VLC-enabled smart home systems for health/fall monitoring.</t>
  </si>
  <si>
    <t>Real-time monitoring with alerts for anomalies (e.g., fall detection, sleep apnea).</t>
  </si>
  <si>
    <t>Health metrics (HR, RR, sleep stages) and security alerts (e.g., authentication failures).</t>
  </si>
  <si>
    <t>4 sleep postures (e.g., in Wi-PSG) to 12+ gestures (e.g., UltraGesture).</t>
  </si>
  <si>
    <t>Sleep postures, hand gestures, gait patterns.</t>
  </si>
  <si>
    <t>Custom algorithms (e.g., SVM, CNN, RNN) running on wearables or edge devices.</t>
  </si>
  <si>
    <t>Machine Learning: SVM, CNN, RNN, LSTM, DBN, GMM.
Signal Processing: FFT, DWT, PCA, ICA, MFCC.</t>
  </si>
  <si>
    <t>Focus on low-power designs; some systems use self-powered TENG or energy harvesting.</t>
  </si>
  <si>
    <t>Proprietary datasets from experiments (e.g., Wi-Fi CSI for gesture recognition).</t>
  </si>
  <si>
    <t>Not specified, but large datasets for training deep learning models (e.g., RF-Pose3D).</t>
  </si>
  <si>
    <t>Ranges from 77% (Gyrophone) to 99.8% (WearID).</t>
  </si>
  <si>
    <t>Not explicitly listed, but high accuracy implies robust performance.</t>
  </si>
  <si>
    <t>Privacy risks (e.g., motion sensors leaking keystrokes).
Environmental noise (e.g., acoustic interference).
Multi-user interference (e.g., overlapping RF reflections).</t>
  </si>
  <si>
    <t>Emerging materials (e.g., softer, more biocompatible sensors).
Energy harvesting (e.g., solar, TENG).
Privacy-preserving algorithms (e.g., federated learning).
Custom ASICs for efficient edge computing.</t>
  </si>
  <si>
    <t>Piezoelectric Ceramic Sensor</t>
  </si>
  <si>
    <t xml:space="preserve"> Intelligent mattress</t>
  </si>
  <si>
    <t>Not explicitly mentioned (sensors arranged in a 2×8 array)</t>
  </si>
  <si>
    <t>Piezoelectric sensing technology</t>
  </si>
  <si>
    <t>Human body vibration signals (e.g., BCG signals, respiratory signals)</t>
  </si>
  <si>
    <t xml:space="preserve"> WiFi module for data transmission</t>
  </si>
  <si>
    <t>Supine
Left side
Right side
Prone</t>
  </si>
  <si>
    <t>STM32F103RET6 microcontroller</t>
  </si>
  <si>
    <t xml:space="preserve"> Custom algorithm based on body vibration signal analysis (sliding window approach)</t>
  </si>
  <si>
    <t>Collected from experiments with multiple users (specific size not mentioned)</t>
  </si>
  <si>
    <t>Supine: 90.15%
Left side: 88.64%
Right side: 87.97%
Prone: 91.36%</t>
  </si>
  <si>
    <t>Integration with other functional modules (e.g., sleep apnea detection) is pending.
Influence of body motion on pressure signals in comparative experiments.</t>
  </si>
  <si>
    <t>Integration with other modules like sleep apnea syndrome detection.
Further research on sleep position combined with sleep apnea syndrome.</t>
  </si>
  <si>
    <t>Defocused Infrared (IR) Camera</t>
  </si>
  <si>
    <t>Not explicitly mentioned (likely CMOS/CCD sensor)</t>
  </si>
  <si>
    <t>IDS UI-3860CP-M-GL R2 with Sony’s 2.1 MP sensor IMX290</t>
  </si>
  <si>
    <t>Not embedded (ceiling-mounted)</t>
  </si>
  <si>
    <t>Optical camera with defocusing capability</t>
  </si>
  <si>
    <t>Positioned above the bed (top-view)</t>
  </si>
  <si>
    <t>Infrared video frames of the sleeping subject</t>
  </si>
  <si>
    <t>Off-bed/empty
Supine
Left-side
Right-side
Prone</t>
  </si>
  <si>
    <t>Physiological measurement branch: Spatial redundancy framework for HR/RR extraction, PixFlow for motion signals.
Semantic analysis branch: ResNet-18 for sleep posture classification.</t>
  </si>
  <si>
    <t>19 healthy volunteers (11 males, 8 females).
Videos recorded in focused/defocused conditions, with/without bedsheet occlusion.
Resolution: 548 × 968 pixels at 20 fps.</t>
  </si>
  <si>
    <t>Sleep posture: Varies by condition (e.g., 0.790 for prone in overall condition, 1.0 for empty/supine/left in focused condition).</t>
  </si>
  <si>
    <t>Sleep posture: 94.5% (overall), 93.9% (defocused-only).
HR: MAE = 5.2 bpm, correlation (R) = 0.9076.
RR (PPG-based): MAE = 1.5 bpm, correlation (R) = 0.9734.
Movement: Correlation (R) = 0.9946.</t>
  </si>
  <si>
    <t>Sleep posture: Varies by condition (e.g., 0.995 for supine in overall condition, 1.0 for prone in focused condition).</t>
  </si>
  <si>
    <t>Sleep posture: Varies by condition (e.g., 0.881 for prone in overall condition, 1.0 for empty/supine/left in focused condition).</t>
  </si>
  <si>
    <t>Image blurring reduces sensitivity to subtle motions (e.g., RR-motion).
Occlusion (bedsheet) affects posture recognition and RR-motion.
Prone posture recognition is less accurate due to irregular head orientation.</t>
  </si>
  <si>
    <t>Integration with radar or other privacy-insensitive sensors for robustness.
Exploration of additional vital signs (e.g., HRV, SpO₂, sleep staging).
Real-world deployment in hospitals, sleep centers, and senior centers.
Automatic control of defocus level for optimal privacy-measurement trade-off.</t>
  </si>
  <si>
    <t>FMCW (Frequency-Modulated Continuous Wave) radar.</t>
  </si>
  <si>
    <t>Not explicitly mentioned, but the radar sensor is a commercial device (TI's IWR6843ISK).</t>
  </si>
  <si>
    <t>Texas Instruments (TI) IWR6843ISK radar sensor.</t>
  </si>
  <si>
    <t>Standalone radar device installed above the subject's head.</t>
  </si>
  <si>
    <t>1 radar unit (with 3 transmitting antennas and 4 receiving antennas).</t>
  </si>
  <si>
    <t>Not applicable (radar is mounted above the bed, not embedded in a mat).</t>
  </si>
  <si>
    <t>FMCW radar operating at 60–64 GHz.</t>
  </si>
  <si>
    <t>Installed above the subject's head, facing downward at an angle.</t>
  </si>
  <si>
    <t>Radar-generated azimuth heat maps of the subject's sleep posture.</t>
  </si>
  <si>
    <t>Not explicitly mentioned, but the system is designed for non-contact monitoring, implying potential IoT integration.</t>
  </si>
  <si>
    <t>4 postures.</t>
  </si>
  <si>
    <t>Supine, prone, left-side, right-side (implied by the confusion matrix in Figure 3).</t>
  </si>
  <si>
    <t>Not explicitly mentioned, but the system uses a neural network model for posture recognition.</t>
  </si>
  <si>
    <t>Multi-task learning model combining:
Feature extractor (ResNet-based 2D CNN).
Decoder (2D transposed convolution layers).
Predictor (MLP with 4 layers).
Loss functions: Mean Square Error (MSE) for reconstruction, Cross-Entropy (CE) for classification.
Data augmentation: Geometric transformations and mix-up.</t>
  </si>
  <si>
    <t>Collected from 17 subjects (4 females, 13 males).
1,400 samples (each sample: 5 seconds of radar signals converted to an azimuth heat map).
Collected under lab conditions with quilts as coverings.</t>
  </si>
  <si>
    <t>1,400 samples.</t>
  </si>
  <si>
    <t>Not explicitly mentioned, but F1 score incorporates precision (see below).</t>
  </si>
  <si>
    <t>Not explicitly mentioned, but F1 score is reported.</t>
  </si>
  <si>
    <t>Not explicitly mentioned, but F1 score incorporates recall (see below).</t>
  </si>
  <si>
    <t>0.935 (for new users), 0.960 (for same users).</t>
  </si>
  <si>
    <t>Individual differences in body shape and posture reduce performance for new users.
Radar signals contain less discriminative information compared to images (e.g., prone vs. left-side confusion).
Privacy and comfort trade-offs (addressed by non-contact radar but limited by signal resolution).</t>
  </si>
  <si>
    <t>Not explicitly mentioned, but potential directions include:
Expanding posture categories.
Improving robustness to individual differences.
Integration with clinical applications (e.g., sleep apnea or pressure sore prevention).</t>
  </si>
  <si>
    <t>Ring antenna leveraging powerline leakage signals (body-empowered wireless sensing).</t>
  </si>
  <si>
    <t>Copper strip (0.05 mm thickness).</t>
  </si>
  <si>
    <t>Custom-designed ring antenna (no commercial model specified).</t>
  </si>
  <si>
    <t>Worn on the finger (ring form factor).</t>
  </si>
  <si>
    <t>1 ring antenna per user.</t>
  </si>
  <si>
    <t>Not applicable (wearable ring, not mat-based).</t>
  </si>
  <si>
    <t>Near-field electric field sensing using powerline electromagnetic radiation (EMR) at 50/60 Hz.</t>
  </si>
  <si>
    <t>Worn on the finger (index finger in experiments).</t>
  </si>
  <si>
    <t>Leaked RF signals from powerlines captured via the body-ring antenna.</t>
  </si>
  <si>
    <t>Yes (data transmitted via Bluetooth Low Energy (BLE) for processing).</t>
  </si>
  <si>
    <t>Not explicitly mentioned, but potential for real-time alerts in applications like fall detection.</t>
  </si>
  <si>
    <t>12 gestures/postures evaluated (including sleep postures and falls).</t>
  </si>
  <si>
    <t>Includes standing, walking, horizontal/vertical hand movements, squatting, lying down, and fall postures (forward, backward, sideways).</t>
  </si>
  <si>
    <t>Arduino Nano board for data collection; laptop for signal processing.</t>
  </si>
  <si>
    <t>Signal Processing: Self-multiplication and low-pass filtering to extract motion signals.
Classification: Dynamic Time Warping (DTW) combined with posture-specific metrics (motion scale, intensity, duration).
Multi-task Learning: Not used; relies on traditional signal processing and DTW.</t>
  </si>
  <si>
    <t>BLE module consumes ~0.1 W; overall system is low-power.</t>
  </si>
  <si>
    <t>Collected from multiple environments (apartment, lab, office) with 12 gestures/postures.
Each gesture repeated 100 times per user.</t>
  </si>
  <si>
    <t>Not explicitly quantified, but large-scale (e.g., 100 trials per gesture across multiple users)</t>
  </si>
  <si>
    <t>Not explicitly mentioned, but average classification accuracy is reported.</t>
  </si>
  <si>
    <t>97.7% for gesture classification; 92.5% for fall detection; 100% for distinguishing lying postures.</t>
  </si>
  <si>
    <t>Signal Sensitivity: Ultra-low frequency (50/60 Hz) requires body integration for detectable variations.
Similar Gestures: Small signal differences for upper-body movements (e.g., hand swipes).
Interference: Accuracy drops to ~92.5% when target and interferer are side-by-side.
Per-User Calibration: Required for optimal performance due to body size/posture differences.
Fine-Grained Sensing: Cannot detect subtle motions like respiration/heartbeat.</t>
  </si>
  <si>
    <t>Machine Learning: Incorporate transfer learning to reduce per-user calibration.
Localization: Integrate simultaneous localization and mapping (SLAM) for position-aware sensing.
Expanded Gestures: Handle more complex poses/gestures with lightweight ML models.
Health Monitoring: Extend to finer-grained physiological sensing (e.g., respiration).</t>
  </si>
  <si>
    <t>Piezoelectric pressure sensor array</t>
  </si>
  <si>
    <t>eTextile material with conductive lines</t>
  </si>
  <si>
    <t>Smart Bedsheet system</t>
  </si>
  <si>
    <t>64 × 128 pressure sensor array</t>
  </si>
  <si>
    <t>Standard twin-size coil spring mattress</t>
  </si>
  <si>
    <t>Embedded in the bedsheet</t>
  </si>
  <si>
    <t>Pressure distribution from human body</t>
  </si>
  <si>
    <t>Right fetus (RF)
Right log (RL)
Supine (S)
Prone (P)
Left fetus (LF)
Left log (LL)</t>
  </si>
  <si>
    <t>Body-Earth Mover’s Distance (BEMD) with skew-based sleep posture classifier</t>
  </si>
  <si>
    <t>14 subjects (9 males, 5 females).
22 samples per posture per subject (total 132 samples per subject).</t>
  </si>
  <si>
    <t>Varies by posture (e.g., 0.968 for Right Fetus, 0.873 for Left Log).</t>
  </si>
  <si>
    <t>91.21% (overall)</t>
  </si>
  <si>
    <t>Planar descriptor: 90.26%
Polar descriptor: 89.26%
Projection descriptor: 91.21%</t>
  </si>
  <si>
    <t>High computational complexity of EMD ( O ( n 3 log ⁡ n ) O(n 3 logn)). 
Sensitivity to body size variations and posture asymmetry.</t>
  </si>
  <si>
    <t>Application to clinical sleep monitoring (e.g., sleep stage recognition).
Integration with time-series metrics for dynamic posture recognition.</t>
  </si>
  <si>
    <t>Piezoelectric bed sensor system for ballistocardiography (BCG).</t>
  </si>
  <si>
    <t>Piezoelectric-ceramic sensors (Yueyang Medical Ltd.) and electromechanical films (EMFit; L series).</t>
  </si>
  <si>
    <t>Custom-designed piezoelectric-ceramic sensors and EMFit films (no commercial model specified).</t>
  </si>
  <si>
    <t>Embedded under the mattress (10 piezoelectric-ceramic sensors for dataset-SIBET; 4 EMFit films for dataset-KSU).</t>
  </si>
  <si>
    <t>Dataset-SIBET: 10 sensors (5 under the pillow, 5 under the chest).
Dataset-KSU: 4 EMFit films.</t>
  </si>
  <si>
    <t>Not explicitly mentioned, but EMFit films were 300 mm × 580 mm.</t>
  </si>
  <si>
    <t>Piezoelectric sensing for BCG signals (non-contact measurement of body vibrations caused by heartbeat).</t>
  </si>
  <si>
    <t>Under the mattress (neck and chest regions).</t>
  </si>
  <si>
    <t>BCG signals (body vibrations) captured by piezoelectric sensors.</t>
  </si>
  <si>
    <t>Yes (data transmitted to a cloud-based database for processing).</t>
  </si>
  <si>
    <t>Not explicitly mentioned, but potential for real-time alerts in clinical settings.</t>
  </si>
  <si>
    <t>Not explicitly mentioned, but results include BP trends and intra-subject correlations.</t>
  </si>
  <si>
    <t>Focused on supine posture during sleep (no explicit count of postures).</t>
  </si>
  <si>
    <t>Supine (primary posture for sleep monitoring).</t>
  </si>
  <si>
    <t>Cloud-based processing for dataset-SIBET; local processing for dataset-KSU.</t>
  </si>
  <si>
    <t>Feature Extraction: Morphological (I, J, K, L peaks), spectral (wavelet + Fourier transforms), and Higuchi fractal dimension (HFD).
Model: Bayesian neural networks (BNN) with transfer learning.
Data Balancing: EasyEnsemble for BP and ΔBP balancing.
Signal Processing: Two-step spectral analysis (wavelet + Fourier) for noise robustness.</t>
  </si>
  <si>
    <t>Not explicitly mentioned, but piezoelectric sensors are typically low-power.</t>
  </si>
  <si>
    <t>Dataset-SIBET: 28 in-hospital patients with cardiovascular diseases (657 BP measurements).
Dataset-KSU: 40 young, healthy subjects (17,577 BP measurements).</t>
  </si>
  <si>
    <t>Dataset-SIBET: 657 BP measurements.
Dataset-KSU: 17,577 BP measurements.</t>
  </si>
  <si>
    <t>Not explicitly mentioned, but MAE and correlation coefficients are reported.</t>
  </si>
  <si>
    <t>Healthy Subjects (Dataset-KSU):
Calibration-free MAE: 4.20 mmHg (SBP), 4.25 mmHg (DBP).
Calibrated MAE: 3.76 mmHg (SBP), 3.23 mmHg (DBP).
In-Hospital Patients (Dataset-SIBET):
Best MAE: 9.96 mmHg (SBP), 7.59 mmHg (DBP).</t>
  </si>
  <si>
    <t>Not applicable (regression task, not classification).</t>
  </si>
  <si>
    <t>Signal Sensitivity: Weak BCG signals in supine position due to perpendicular force to aortic blood flow.
Population Diversity: Reduced accuracy in subjects with severe cardiovascular diseases.
Data Imbalance: Required balancing techniques (EasyEnsemble) for robust model training.
Noise: Respiration artifacts and environmental disturbances affecting morphological features.</t>
  </si>
  <si>
    <t>Multi-Modal Fusion: Combine BCG with other signals (e.g., capacitive ECG, remote PPG) for improved accuracy.
Algorithm Optimization: Orthogonalization of features and tuning BNN structure.
Posture Recognition: Integrate posture detection to account for BCG variability.
Clinical Validation: Expand studies to diverse populations (e.g., elderly, hypertensive patients).
Real-Time Monitoring: Enhance IoT integration for continuous BP tracking in home settings.</t>
  </si>
  <si>
    <t>Pressure Array Sensor
Infrared Array (IRA) Sensor</t>
  </si>
  <si>
    <t>Pressure Sensor: Resistive transducers
IRA Sensor: Far-infrared radiation detectors</t>
  </si>
  <si>
    <t>Pressure Array Sensor: Not explicitly mentioned
IRA Sensor: MLX90640</t>
  </si>
  <si>
    <t>Pressure Sensor: Chair (seat surface)
IRA Sensor: Mounted on a bracket placed on the desk</t>
  </si>
  <si>
    <t>Pressure Array Sensor: 2288 sensing elements (44 × 52 matrix)
IRA Sensor: 768 sensors (24 × 32 matrix)</t>
  </si>
  <si>
    <t>Pressure Array Sensor: 30.5 cm × 36.4 cm
IRA Sensor: Not explicitly mentioned</t>
  </si>
  <si>
    <t>Pressure Sensor: Resistive transducers
IRA Sensor: Far-infrared radiation</t>
  </si>
  <si>
    <t>Pressure Sensor: Attached to the chair
IRA Sensor: Mounted on a bracket on the desk</t>
  </si>
  <si>
    <t>Pressure Sensor: Pressure distribution on the seat
IRA Sensor: Temperature distribution of the upper body</t>
  </si>
  <si>
    <t>The system includes a server for data analysis and recognition</t>
  </si>
  <si>
    <t>TS, NN, UD, LG (Trunk straight, Neck neutral, Hands on desk, Legs on ground)
TS, NN, UL, LG (Trunk straight, Neck neutral, Hands on legs, Legs on ground)
TF, NN, UD, LG (Trunk forward, Neck neutral, Hands on desk, Legs on ground)
TF, NON, UD, LG (Trunk forward, Neck non-neutral, Hands on desk, Legs on ground)
TB, NN, UL, LG (Trunk backward, Neck neutral, Hands on legs, Legs on ground)
TB, NON, UD, LG (Trunk backward, Neck non-neutral, Hands on desk, Legs on ground)
TS, NN, UD, LC (Trunk straight, Neck neutral, Hands on desk, Legs crossed)
TF, NON, UC, LC (Trunk forward, Neck non-neutral, Holding chin, Legs crossed)
TL, NON, UC, LG (Trunk left, Neck non-neutral, Holding chin, Legs on ground)
TL, NON, UF, LG (Trunk left, Neck non-neutral, Holding forehead, Legs on ground)</t>
  </si>
  <si>
    <t>Microcontroller for pressure array sensor
Evaluation Board (EVB90649-4) for IRA sensor</t>
  </si>
  <si>
    <t>Two-modal SitPoseNet (TSPN): A deep learning-based algorithm using ResNet for feature extraction and feature-level fusion</t>
  </si>
  <si>
    <t>Self-collected dataset from 21 subjects (12 males, 9 females)
6300 frames with manual labels</t>
  </si>
  <si>
    <t>Not explicitly mentioned (only accuracy, recall, and F1-score are discussed in general terms)</t>
  </si>
  <si>
    <t>90.6% (using multimodal data)
78.3% (using only IRA sensor)
50.0% (using only pressure sensor)</t>
  </si>
  <si>
    <t>Pressure sensors alone cannot accurately recognize postures with similar trunk states but different upper body configurations.
IRA sensors struggle with postures where the desk obscures the lower extremities.
Background noise (e.g., hot spots from non-human objects) can affect IRA sensor performance.</t>
  </si>
  <si>
    <t>Sensor layout optimization to reduce sensor array resolution.
Expanding posture recognition to include more health-risk-related postures and testing on diverse body types.
Personalized models to account for physical characteristics like BMI.
Robustness improvements for dynamic environments and sudden infrared sources.</t>
  </si>
  <si>
    <t>Flexible piezoresistive array sensors</t>
  </si>
  <si>
    <t>Multi-walled carbon nanotubes (MWCNTs) and Polydimethylsiloxane (PDMS) composite</t>
  </si>
  <si>
    <t>Human epidermis (e.g., elbow, knee, etc.)</t>
  </si>
  <si>
    <t>16 (4 × 4 array)</t>
  </si>
  <si>
    <t>10 cm × 10 cm (system size)
1 cm diameter (individual sensor unit)</t>
  </si>
  <si>
    <t>Piezoresistive sensing with conical microstructures</t>
  </si>
  <si>
    <t>Flexible electronic system (FIFES) worn on the human body</t>
  </si>
  <si>
    <t>External pressure signals (e.g., finger touch, joint bending)</t>
  </si>
  <si>
    <t>Yes (wireless transmission via Bluetooth)</t>
  </si>
  <si>
    <t>Not explicitly mentioned (focused on pressure monitoring, not posture classification)</t>
  </si>
  <si>
    <t>Not applicable (system monitors pressure distribution, not postures)</t>
  </si>
  <si>
    <t>Microcontroller (MCU) integrated into the flexible circuit</t>
  </si>
  <si>
    <t>Not explicitly mentioned (focus on hardware and sensor performance)</t>
  </si>
  <si>
    <t>Ultralow power mode when idle
Powered by a 3.7 V button battery</t>
  </si>
  <si>
    <t>Self-collected experimental data (no external dataset mentioned)</t>
  </si>
  <si>
    <t>96.4% accuracy (after 1000 cycles at 18 kPa)</t>
  </si>
  <si>
    <t>High sensitivity: 1.61 kPa⁻¹ (0–18 kPa), 0.47 kPa⁻¹ (18–50 kPa)</t>
  </si>
  <si>
    <t>Integration of rigid and flexible components (solved using heat seal connectors).
Sensor consistency and stability (addressed through material optimization).
Background noise (e.g., non-human pressure sources).</t>
  </si>
  <si>
    <t>Optimize sensor size for more precise pressure localization.
Expand applications to sleep posture monitoring and pressure ulcer prevention.
Improve biocompatibility and wearability for long-term use.</t>
  </si>
  <si>
    <t>Infrared night vision camera</t>
  </si>
  <si>
    <t xml:space="preserve">Not specified
</t>
  </si>
  <si>
    <t>Surveillance camera</t>
  </si>
  <si>
    <t>Not specified (implied: one camera per position)</t>
  </si>
  <si>
    <t>Not applicable (camera-based, no mat)</t>
  </si>
  <si>
    <t>Infrared night vision</t>
  </si>
  <si>
    <t>End of the bed and side of the bed</t>
  </si>
  <si>
    <t>Sleep images (video frames)</t>
  </si>
  <si>
    <t>Yes (utilizes IoT and 5G technologies)</t>
  </si>
  <si>
    <t>Deep learning-based model (DL-model) with attention mechanism and multi-task learning</t>
  </si>
  <si>
    <t>3906 sleeping posture images from 16 people</t>
  </si>
  <si>
    <t>Images resized to 224×224</t>
  </si>
  <si>
    <t>94.62% (average)</t>
  </si>
  <si>
    <t>Complex sleeping environments (e.g., blankets covering body features).
Poor nighttime lighting conditions.</t>
  </si>
  <si>
    <t>Real-time analysis of surveillance video for sleep posture changes.
Explore correlation between sleeping posture and sleep quality.
Develop non-invasive sleep quality assessment models using IoT and 5G.</t>
  </si>
  <si>
    <t xml:space="preserve">SleepCon: Sleeping Posture Recognition Model using Convolutional Neural Network </t>
  </si>
  <si>
    <t>Jesmeen</t>
  </si>
  <si>
    <t xml:space="preserve">Emerging Science Journal </t>
  </si>
  <si>
    <t>Camera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</si>
</sst>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2"/>
      <color theme="1"/>
      <name val="Times New Roman"/>
      <family val="1"/>
    </font>
    <font>
      <b/>
      <sz val="8"/>
      <color theme="1"/>
      <name val="Times New Roman"/>
      <family val="1"/>
    </font>
    <font>
      <sz val="8"/>
      <color theme="1"/>
      <name val="Calibri"/>
      <family val="2"/>
      <scheme val="minor"/>
    </font>
    <font>
      <sz val="11"/>
      <color rgb="FF000000"/>
      <name val="Calibri"/>
      <family val="2"/>
    </font>
    <font>
      <sz val="11"/>
      <color rgb="FF000000"/>
      <name val="Arial"/>
      <charset val="1"/>
    </font>
    <font>
      <sz val="10"/>
      <color rgb="FF222222"/>
      <name val="Arial"/>
      <charset val="1"/>
    </font>
    <font>
      <sz val="11"/>
      <color rgb="FF000000"/>
      <name val="Calibri"/>
      <charset val="1"/>
    </font>
    <font>
      <b/>
      <sz val="24"/>
      <color theme="1"/>
      <name val="Calibri"/>
      <family val="2"/>
      <scheme val="minor"/>
    </font>
    <font>
      <sz val="24"/>
      <color theme="1"/>
      <name val="Calibri"/>
      <family val="2"/>
      <scheme val="minor"/>
    </font>
    <font>
      <sz val="11"/>
      <color rgb="FF000000"/>
      <name val="Calibri"/>
      <scheme val="minor"/>
    </font>
    <font>
      <b/>
      <sz val="9"/>
      <color theme="1"/>
      <name val="Times New Roman"/>
      <family val="1"/>
    </font>
    <font>
      <sz val="9"/>
      <color theme="1"/>
      <name val="Calibri"/>
      <family val="2"/>
      <scheme val="minor"/>
    </font>
    <font>
      <sz val="9"/>
      <color rgb="FF000000"/>
      <name val="Calibri"/>
      <family val="2"/>
    </font>
    <font>
      <sz val="9"/>
      <color rgb="FF000000"/>
      <name val="Arial"/>
      <charset val="1"/>
    </font>
    <font>
      <b/>
      <sz val="9"/>
      <color theme="1"/>
      <name val="Calibri"/>
      <family val="2"/>
      <scheme val="minor"/>
    </font>
    <font>
      <sz val="12"/>
      <color theme="1"/>
      <name val="Calibri"/>
      <family val="2"/>
      <scheme val="minor"/>
    </font>
    <font>
      <b/>
      <sz val="11"/>
      <color theme="1"/>
      <name val="Calibri"/>
      <family val="2"/>
      <scheme val="minor"/>
    </font>
    <font>
      <sz val="12"/>
      <color rgb="FF404040"/>
      <name val="Segoe UI"/>
      <family val="2"/>
    </font>
    <font>
      <sz val="11"/>
      <color rgb="FF404040"/>
      <name val="Segoe UI"/>
      <family val="2"/>
    </font>
  </fonts>
  <fills count="23">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DDEBF7"/>
        <bgColor rgb="FF000000"/>
      </patternFill>
    </fill>
    <fill>
      <patternFill patternType="solid">
        <fgColor theme="5" tint="0.39997558519241921"/>
        <bgColor indexed="64"/>
      </patternFill>
    </fill>
    <fill>
      <patternFill patternType="solid">
        <fgColor rgb="FFFFFFFF"/>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3"/>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rgb="FF7030A0"/>
        <bgColor indexed="64"/>
      </patternFill>
    </fill>
    <fill>
      <patternFill patternType="solid">
        <fgColor theme="8" tint="0.7999816888943144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bottom style="medium">
        <color rgb="FFE5E5E5"/>
      </bottom>
      <diagonal/>
    </border>
  </borders>
  <cellStyleXfs count="1">
    <xf numFmtId="0" fontId="0" fillId="0" borderId="0"/>
  </cellStyleXfs>
  <cellXfs count="203">
    <xf numFmtId="0" fontId="0" fillId="0" borderId="0" xfId="0"/>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10" fontId="0" fillId="0" borderId="1" xfId="0" applyNumberFormat="1" applyBorder="1" applyAlignment="1">
      <alignment horizontal="left" vertical="center" wrapText="1"/>
    </xf>
    <xf numFmtId="0" fontId="1" fillId="3" borderId="2" xfId="0" applyFont="1" applyFill="1" applyBorder="1" applyAlignment="1">
      <alignment vertical="center" wrapText="1"/>
    </xf>
    <xf numFmtId="0" fontId="0" fillId="2" borderId="1" xfId="0" applyFill="1" applyBorder="1" applyAlignment="1">
      <alignment horizontal="left" vertical="center" wrapText="1"/>
    </xf>
    <xf numFmtId="0" fontId="0" fillId="4" borderId="1" xfId="0" applyFill="1" applyBorder="1" applyAlignment="1">
      <alignment horizontal="center" vertical="center" wrapText="1"/>
    </xf>
    <xf numFmtId="0" fontId="0" fillId="5" borderId="1" xfId="0" applyFill="1" applyBorder="1" applyAlignment="1">
      <alignment horizontal="left"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0" fillId="5" borderId="1" xfId="0" applyFill="1" applyBorder="1" applyAlignment="1">
      <alignment horizontal="center" vertical="center" wrapText="1"/>
    </xf>
    <xf numFmtId="0" fontId="0" fillId="5" borderId="7" xfId="0" applyFill="1" applyBorder="1" applyAlignment="1">
      <alignment horizontal="left" vertical="center" wrapText="1"/>
    </xf>
    <xf numFmtId="9" fontId="0" fillId="5" borderId="1" xfId="0" applyNumberFormat="1" applyFill="1" applyBorder="1" applyAlignment="1">
      <alignment horizontal="left" vertical="center" wrapText="1"/>
    </xf>
    <xf numFmtId="0" fontId="0" fillId="6" borderId="1" xfId="0" applyFill="1" applyBorder="1" applyAlignment="1">
      <alignment horizontal="left" vertical="center" wrapText="1"/>
    </xf>
    <xf numFmtId="0" fontId="0" fillId="6" borderId="7" xfId="0" applyFill="1" applyBorder="1" applyAlignment="1">
      <alignment horizontal="left" vertical="center" wrapText="1"/>
    </xf>
    <xf numFmtId="0" fontId="0" fillId="6" borderId="1" xfId="0" applyFill="1" applyBorder="1" applyAlignment="1">
      <alignment horizontal="center" vertical="center" wrapText="1"/>
    </xf>
    <xf numFmtId="10" fontId="0" fillId="6" borderId="1" xfId="0" applyNumberFormat="1" applyFill="1" applyBorder="1" applyAlignment="1">
      <alignment horizontal="left" vertical="center" wrapText="1"/>
    </xf>
    <xf numFmtId="9" fontId="0" fillId="6" borderId="1" xfId="0" applyNumberFormat="1" applyFill="1" applyBorder="1" applyAlignment="1">
      <alignment horizontal="left" vertical="center" wrapText="1"/>
    </xf>
    <xf numFmtId="0" fontId="1" fillId="3" borderId="3" xfId="0" applyFont="1" applyFill="1" applyBorder="1" applyAlignment="1">
      <alignment horizontal="center" vertical="center" wrapText="1"/>
    </xf>
    <xf numFmtId="0" fontId="0" fillId="5" borderId="6" xfId="0" applyFill="1"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0" fillId="6" borderId="8" xfId="0" applyFill="1" applyBorder="1" applyAlignment="1">
      <alignment wrapText="1"/>
    </xf>
    <xf numFmtId="0" fontId="0" fillId="6" borderId="8" xfId="0" applyFill="1" applyBorder="1"/>
    <xf numFmtId="0" fontId="0" fillId="5" borderId="0" xfId="0" applyFill="1" applyAlignment="1">
      <alignment horizontal="left" vertical="center" wrapText="1"/>
    </xf>
    <xf numFmtId="0" fontId="0" fillId="5" borderId="8" xfId="0" applyFill="1" applyBorder="1" applyAlignment="1">
      <alignment horizontal="left" vertical="center" wrapText="1"/>
    </xf>
    <xf numFmtId="10" fontId="0" fillId="5" borderId="8" xfId="0" applyNumberFormat="1" applyFill="1" applyBorder="1"/>
    <xf numFmtId="0" fontId="0" fillId="5" borderId="10" xfId="0" applyFill="1" applyBorder="1" applyAlignment="1">
      <alignment horizontal="center" vertical="center" wrapText="1"/>
    </xf>
    <xf numFmtId="0" fontId="0" fillId="6" borderId="8" xfId="0" applyFill="1" applyBorder="1" applyAlignment="1">
      <alignment horizontal="left" vertical="center" wrapText="1"/>
    </xf>
    <xf numFmtId="0" fontId="0" fillId="6" borderId="11" xfId="0" applyFill="1" applyBorder="1" applyAlignment="1">
      <alignment wrapText="1"/>
    </xf>
    <xf numFmtId="0" fontId="0" fillId="6" borderId="11" xfId="0" applyFill="1" applyBorder="1"/>
    <xf numFmtId="0" fontId="0" fillId="6" borderId="11" xfId="0" applyFill="1" applyBorder="1" applyAlignment="1">
      <alignment horizontal="center"/>
    </xf>
    <xf numFmtId="10" fontId="0" fillId="6" borderId="11" xfId="0" applyNumberFormat="1" applyFill="1" applyBorder="1"/>
    <xf numFmtId="0" fontId="0" fillId="5" borderId="2" xfId="0" applyFill="1" applyBorder="1" applyAlignment="1">
      <alignment horizontal="left" vertical="center" wrapText="1"/>
    </xf>
    <xf numFmtId="0" fontId="0" fillId="6" borderId="1" xfId="0" applyFill="1" applyBorder="1" applyAlignment="1">
      <alignment wrapText="1"/>
    </xf>
    <xf numFmtId="0" fontId="0" fillId="2" borderId="8" xfId="0" applyFill="1" applyBorder="1" applyAlignment="1">
      <alignment horizontal="left" vertical="center" wrapText="1"/>
    </xf>
    <xf numFmtId="0" fontId="0" fillId="5" borderId="3" xfId="0" applyFill="1" applyBorder="1" applyAlignment="1">
      <alignment horizontal="left" vertical="center" wrapText="1"/>
    </xf>
    <xf numFmtId="0" fontId="0" fillId="6" borderId="7" xfId="0" applyFill="1" applyBorder="1"/>
    <xf numFmtId="0" fontId="0" fillId="0" borderId="8" xfId="0" applyBorder="1" applyAlignment="1">
      <alignment horizontal="left" vertical="center" wrapText="1"/>
    </xf>
    <xf numFmtId="0" fontId="0" fillId="5" borderId="3" xfId="0" applyFill="1" applyBorder="1" applyAlignment="1">
      <alignment horizontal="center" vertical="center" wrapText="1"/>
    </xf>
    <xf numFmtId="0" fontId="0" fillId="6" borderId="1" xfId="0" applyFill="1" applyBorder="1" applyAlignment="1">
      <alignment horizontal="center"/>
    </xf>
    <xf numFmtId="0" fontId="0" fillId="5" borderId="8" xfId="0" applyFill="1" applyBorder="1" applyAlignment="1">
      <alignment horizontal="center" vertical="center" wrapText="1"/>
    </xf>
    <xf numFmtId="0" fontId="0" fillId="6" borderId="6" xfId="0" applyFill="1" applyBorder="1" applyAlignment="1">
      <alignment horizontal="center" vertical="center" wrapText="1"/>
    </xf>
    <xf numFmtId="0" fontId="0" fillId="0" borderId="8" xfId="0" applyBorder="1" applyAlignment="1">
      <alignment horizontal="center" vertical="center" wrapText="1"/>
    </xf>
    <xf numFmtId="0" fontId="0" fillId="6" borderId="1" xfId="0" applyFill="1" applyBorder="1"/>
    <xf numFmtId="0" fontId="0" fillId="6" borderId="6" xfId="0" applyFill="1" applyBorder="1" applyAlignment="1">
      <alignment horizontal="left" vertical="center" wrapText="1"/>
    </xf>
    <xf numFmtId="0" fontId="0" fillId="6" borderId="6" xfId="0" applyFill="1" applyBorder="1"/>
    <xf numFmtId="0" fontId="0" fillId="6" borderId="0" xfId="0" applyFill="1"/>
    <xf numFmtId="0" fontId="0" fillId="5" borderId="8" xfId="0" applyFill="1" applyBorder="1"/>
    <xf numFmtId="0" fontId="0" fillId="6" borderId="10" xfId="0" applyFill="1" applyBorder="1" applyAlignment="1">
      <alignment horizontal="center"/>
    </xf>
    <xf numFmtId="0" fontId="0" fillId="0" borderId="0" xfId="0" applyAlignment="1">
      <alignment horizontal="left" vertical="center" wrapText="1"/>
    </xf>
    <xf numFmtId="0" fontId="0" fillId="5" borderId="1" xfId="0" applyFill="1" applyBorder="1"/>
    <xf numFmtId="0" fontId="0" fillId="6" borderId="0" xfId="0" applyFill="1" applyAlignment="1">
      <alignment wrapText="1"/>
    </xf>
    <xf numFmtId="10" fontId="0" fillId="5" borderId="1" xfId="0" applyNumberFormat="1" applyFill="1" applyBorder="1"/>
    <xf numFmtId="0" fontId="0" fillId="6" borderId="9" xfId="0" applyFill="1" applyBorder="1"/>
    <xf numFmtId="0" fontId="0" fillId="6" borderId="0" xfId="0" applyFill="1" applyAlignment="1">
      <alignment horizontal="left" vertical="center" wrapText="1"/>
    </xf>
    <xf numFmtId="10" fontId="0" fillId="6" borderId="1" xfId="0" applyNumberFormat="1" applyFill="1" applyBorder="1"/>
    <xf numFmtId="9" fontId="0" fillId="5" borderId="8" xfId="0" applyNumberFormat="1" applyFill="1" applyBorder="1" applyAlignment="1">
      <alignment horizontal="left" vertical="center" wrapText="1"/>
    </xf>
    <xf numFmtId="10" fontId="0" fillId="5" borderId="6" xfId="0" applyNumberFormat="1" applyFill="1" applyBorder="1" applyAlignment="1">
      <alignment horizontal="left" vertical="center" wrapText="1"/>
    </xf>
    <xf numFmtId="9" fontId="0" fillId="6" borderId="1" xfId="0" applyNumberFormat="1" applyFill="1" applyBorder="1"/>
    <xf numFmtId="10" fontId="0" fillId="0" borderId="8" xfId="0" applyNumberFormat="1" applyBorder="1" applyAlignment="1">
      <alignment horizontal="left" vertical="center" wrapText="1"/>
    </xf>
    <xf numFmtId="0" fontId="0" fillId="0" borderId="1" xfId="0" applyBorder="1"/>
    <xf numFmtId="0" fontId="0" fillId="5" borderId="4" xfId="0" applyFill="1" applyBorder="1" applyAlignment="1">
      <alignment horizontal="center" vertical="center" wrapText="1"/>
    </xf>
    <xf numFmtId="0" fontId="0" fillId="4" borderId="8" xfId="0" applyFill="1" applyBorder="1" applyAlignment="1">
      <alignment horizontal="center" vertical="center" wrapText="1"/>
    </xf>
    <xf numFmtId="0" fontId="1" fillId="3" borderId="8" xfId="0" applyFont="1" applyFill="1" applyBorder="1" applyAlignment="1">
      <alignment vertical="center" wrapText="1"/>
    </xf>
    <xf numFmtId="0" fontId="0" fillId="6" borderId="8" xfId="0" applyFill="1" applyBorder="1" applyAlignment="1">
      <alignment horizontal="center" vertical="center" wrapText="1"/>
    </xf>
    <xf numFmtId="0" fontId="1" fillId="3" borderId="8" xfId="0" applyFont="1" applyFill="1" applyBorder="1" applyAlignment="1">
      <alignment horizontal="center" vertical="center" wrapText="1"/>
    </xf>
    <xf numFmtId="0" fontId="0" fillId="5" borderId="0" xfId="0" applyFill="1" applyAlignment="1">
      <alignment horizontal="center" vertical="center"/>
    </xf>
    <xf numFmtId="0" fontId="0" fillId="0" borderId="13" xfId="0" applyBorder="1" applyAlignment="1">
      <alignment horizontal="center" vertical="center"/>
    </xf>
    <xf numFmtId="10" fontId="0" fillId="5" borderId="1" xfId="0" applyNumberFormat="1" applyFill="1" applyBorder="1" applyAlignment="1">
      <alignment horizontal="center" vertical="center" wrapText="1"/>
    </xf>
    <xf numFmtId="10" fontId="0" fillId="0" borderId="1" xfId="0" applyNumberFormat="1" applyBorder="1" applyAlignment="1">
      <alignment horizontal="center" vertical="center" wrapText="1"/>
    </xf>
    <xf numFmtId="9" fontId="0" fillId="5" borderId="1" xfId="0" applyNumberFormat="1" applyFill="1" applyBorder="1" applyAlignment="1">
      <alignment horizontal="center" vertical="center" wrapText="1"/>
    </xf>
    <xf numFmtId="9" fontId="0" fillId="0" borderId="1" xfId="0" applyNumberFormat="1" applyBorder="1" applyAlignment="1">
      <alignment horizontal="center" vertical="center" wrapText="1"/>
    </xf>
    <xf numFmtId="10" fontId="0" fillId="6" borderId="1" xfId="0" applyNumberFormat="1" applyFill="1" applyBorder="1" applyAlignment="1">
      <alignment horizontal="center" vertical="center" wrapText="1"/>
    </xf>
    <xf numFmtId="9" fontId="0" fillId="6" borderId="1" xfId="0" applyNumberFormat="1" applyFill="1"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9" xfId="0" applyBorder="1" applyAlignment="1">
      <alignment horizontal="center" vertical="center" wrapText="1"/>
    </xf>
    <xf numFmtId="10" fontId="0" fillId="0" borderId="13" xfId="0" applyNumberFormat="1" applyBorder="1" applyAlignment="1">
      <alignment horizontal="center" vertical="center"/>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2"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7" borderId="6" xfId="0"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5" borderId="0" xfId="0" applyFill="1" applyAlignment="1">
      <alignment horizontal="center" vertical="center" wrapText="1"/>
    </xf>
    <xf numFmtId="0" fontId="0" fillId="7" borderId="1" xfId="0"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6" borderId="7" xfId="0" applyFill="1" applyBorder="1" applyAlignment="1">
      <alignment horizontal="center" vertical="center" wrapText="1"/>
    </xf>
    <xf numFmtId="0" fontId="3" fillId="6" borderId="1"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10" fontId="0" fillId="0" borderId="8" xfId="0" applyNumberFormat="1" applyBorder="1" applyAlignment="1">
      <alignment horizontal="center" vertical="center"/>
    </xf>
    <xf numFmtId="0" fontId="0" fillId="6" borderId="8" xfId="0" applyFill="1" applyBorder="1" applyAlignment="1">
      <alignment horizontal="center" vertical="center"/>
    </xf>
    <xf numFmtId="0" fontId="0" fillId="7" borderId="8" xfId="0" applyFill="1" applyBorder="1" applyAlignment="1">
      <alignment horizontal="center" vertical="center" wrapText="1"/>
    </xf>
    <xf numFmtId="10" fontId="0" fillId="6" borderId="8" xfId="0" applyNumberFormat="1" applyFill="1" applyBorder="1" applyAlignment="1">
      <alignment horizontal="center" vertical="center"/>
    </xf>
    <xf numFmtId="0" fontId="3" fillId="6" borderId="8" xfId="0" applyFont="1" applyFill="1" applyBorder="1" applyAlignment="1">
      <alignment horizontal="center" vertical="center"/>
    </xf>
    <xf numFmtId="0" fontId="0" fillId="7" borderId="8" xfId="0" applyFill="1" applyBorder="1" applyAlignment="1">
      <alignment horizontal="center" vertical="center"/>
    </xf>
    <xf numFmtId="9" fontId="0" fillId="6" borderId="8" xfId="0" applyNumberFormat="1" applyFill="1" applyBorder="1" applyAlignment="1">
      <alignment horizontal="center" vertical="center"/>
    </xf>
    <xf numFmtId="0" fontId="3" fillId="6" borderId="8" xfId="0" applyFont="1" applyFill="1" applyBorder="1" applyAlignment="1">
      <alignment horizontal="center" vertical="center" wrapText="1"/>
    </xf>
    <xf numFmtId="0" fontId="0" fillId="6" borderId="11" xfId="0" applyFill="1" applyBorder="1" applyAlignment="1">
      <alignment horizontal="center" vertical="center"/>
    </xf>
    <xf numFmtId="0" fontId="0" fillId="7" borderId="11" xfId="0" applyFill="1" applyBorder="1" applyAlignment="1">
      <alignment horizontal="center" vertical="center" wrapText="1"/>
    </xf>
    <xf numFmtId="10" fontId="0" fillId="6" borderId="11" xfId="0" applyNumberFormat="1" applyFill="1" applyBorder="1" applyAlignment="1">
      <alignment horizontal="center" vertical="center"/>
    </xf>
    <xf numFmtId="0" fontId="3" fillId="6" borderId="11" xfId="0" applyFont="1" applyFill="1" applyBorder="1" applyAlignment="1">
      <alignment horizontal="center" vertical="center" wrapText="1"/>
    </xf>
    <xf numFmtId="0" fontId="0" fillId="6" borderId="11" xfId="0" applyFill="1" applyBorder="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center"/>
    </xf>
    <xf numFmtId="0" fontId="4" fillId="8" borderId="1" xfId="0" applyFont="1" applyFill="1" applyBorder="1" applyAlignment="1">
      <alignment horizontal="center" wrapText="1"/>
    </xf>
    <xf numFmtId="0" fontId="4" fillId="0" borderId="7" xfId="0" applyFont="1" applyBorder="1" applyAlignment="1">
      <alignment horizontal="center" wrapText="1"/>
    </xf>
    <xf numFmtId="0" fontId="4" fillId="0" borderId="5" xfId="0" applyFont="1" applyBorder="1" applyAlignment="1">
      <alignment horizontal="center" wrapText="1"/>
    </xf>
    <xf numFmtId="0" fontId="1" fillId="0" borderId="3" xfId="0" applyFont="1" applyBorder="1" applyAlignment="1">
      <alignment horizontal="center" vertical="center" wrapText="1"/>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wrapText="1"/>
    </xf>
    <xf numFmtId="0" fontId="3" fillId="0" borderId="8" xfId="0" applyFont="1" applyBorder="1" applyAlignment="1">
      <alignment horizontal="center" vertical="center" wrapText="1"/>
    </xf>
    <xf numFmtId="0" fontId="0" fillId="9" borderId="1" xfId="0" applyFill="1" applyBorder="1" applyAlignment="1">
      <alignment horizontal="center" vertical="center" wrapText="1"/>
    </xf>
    <xf numFmtId="0" fontId="0" fillId="9" borderId="0" xfId="0" applyFill="1" applyAlignment="1">
      <alignment horizontal="center" vertical="center" wrapText="1"/>
    </xf>
    <xf numFmtId="3" fontId="0" fillId="0" borderId="1" xfId="0" applyNumberFormat="1" applyBorder="1" applyAlignment="1">
      <alignment horizontal="center" vertical="center" wrapText="1"/>
    </xf>
    <xf numFmtId="0" fontId="0" fillId="11" borderId="1" xfId="0" applyFill="1" applyBorder="1" applyAlignment="1">
      <alignment horizontal="center" vertical="center" wrapText="1"/>
    </xf>
    <xf numFmtId="0" fontId="0" fillId="9" borderId="8" xfId="0" applyFill="1" applyBorder="1" applyAlignment="1">
      <alignment horizontal="center" vertical="center" wrapText="1"/>
    </xf>
    <xf numFmtId="0" fontId="5" fillId="10" borderId="8" xfId="0" applyFont="1" applyFill="1" applyBorder="1" applyAlignment="1">
      <alignment wrapText="1"/>
    </xf>
    <xf numFmtId="0" fontId="6" fillId="0" borderId="8" xfId="0" applyFont="1" applyBorder="1" applyAlignment="1">
      <alignment wrapText="1"/>
    </xf>
    <xf numFmtId="0" fontId="6" fillId="0" borderId="8" xfId="0" applyFont="1" applyBorder="1"/>
    <xf numFmtId="10" fontId="6" fillId="0" borderId="8" xfId="0" applyNumberFormat="1" applyFont="1" applyBorder="1"/>
    <xf numFmtId="0" fontId="0" fillId="0" borderId="11" xfId="0" applyBorder="1" applyAlignment="1">
      <alignment wrapText="1"/>
    </xf>
    <xf numFmtId="0" fontId="0" fillId="9" borderId="9" xfId="0" applyFill="1" applyBorder="1" applyAlignment="1">
      <alignment horizontal="center" vertical="center" wrapText="1"/>
    </xf>
    <xf numFmtId="0" fontId="0" fillId="0" borderId="11" xfId="0" applyBorder="1" applyAlignment="1">
      <alignment horizontal="left" vertical="center" wrapText="1"/>
    </xf>
    <xf numFmtId="0" fontId="0" fillId="12" borderId="1" xfId="0" applyFill="1" applyBorder="1" applyAlignment="1">
      <alignment horizontal="left" vertical="center" wrapText="1"/>
    </xf>
    <xf numFmtId="0" fontId="0" fillId="12" borderId="5" xfId="0" applyFill="1" applyBorder="1" applyAlignment="1">
      <alignment horizontal="center" vertical="center" wrapText="1"/>
    </xf>
    <xf numFmtId="0" fontId="0" fillId="12" borderId="6" xfId="0" applyFill="1" applyBorder="1" applyAlignment="1">
      <alignment horizontal="center" vertical="center" wrapText="1"/>
    </xf>
    <xf numFmtId="0" fontId="0" fillId="13" borderId="0" xfId="0" applyFill="1" applyAlignment="1">
      <alignment wrapText="1"/>
    </xf>
    <xf numFmtId="0" fontId="0" fillId="13" borderId="0" xfId="0" applyFill="1" applyAlignment="1">
      <alignment horizontal="center" vertical="center"/>
    </xf>
    <xf numFmtId="0" fontId="0" fillId="13" borderId="0" xfId="0" applyFill="1" applyAlignment="1">
      <alignment horizontal="center" vertical="center" wrapText="1"/>
    </xf>
    <xf numFmtId="0" fontId="3" fillId="13" borderId="0" xfId="0" applyFont="1" applyFill="1" applyAlignment="1">
      <alignment horizontal="center" vertical="center"/>
    </xf>
    <xf numFmtId="0" fontId="7" fillId="0" borderId="0" xfId="0" applyFont="1"/>
    <xf numFmtId="0" fontId="0" fillId="14" borderId="6" xfId="0" applyFill="1"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15" borderId="0" xfId="0" applyFill="1" applyAlignment="1">
      <alignment horizontal="center" vertical="center"/>
    </xf>
    <xf numFmtId="0" fontId="0" fillId="15" borderId="1" xfId="0" applyFill="1" applyBorder="1" applyAlignment="1">
      <alignment horizontal="left" vertical="center" wrapText="1"/>
    </xf>
    <xf numFmtId="0" fontId="0" fillId="16" borderId="1" xfId="0" applyFill="1" applyBorder="1" applyAlignment="1">
      <alignment horizontal="center" vertical="center" wrapText="1"/>
    </xf>
    <xf numFmtId="0" fontId="4" fillId="0" borderId="1" xfId="0" applyFont="1" applyBorder="1" applyAlignment="1">
      <alignment horizontal="center" wrapText="1"/>
    </xf>
    <xf numFmtId="0" fontId="8" fillId="17" borderId="0" xfId="0" applyFont="1" applyFill="1"/>
    <xf numFmtId="0" fontId="9" fillId="18" borderId="0" xfId="0" applyFont="1" applyFill="1"/>
    <xf numFmtId="0" fontId="9" fillId="19" borderId="0" xfId="0" applyFont="1" applyFill="1"/>
    <xf numFmtId="0" fontId="0" fillId="0" borderId="0" xfId="0" applyAlignment="1">
      <alignment wrapText="1"/>
    </xf>
    <xf numFmtId="0" fontId="8" fillId="20" borderId="0" xfId="0" applyFont="1" applyFill="1"/>
    <xf numFmtId="0" fontId="0" fillId="2" borderId="0" xfId="0" applyFill="1" applyAlignment="1">
      <alignment horizontal="left" vertical="center" wrapText="1"/>
    </xf>
    <xf numFmtId="0" fontId="0" fillId="7" borderId="0" xfId="0" applyFill="1" applyAlignment="1">
      <alignment horizontal="center" vertical="center" wrapText="1"/>
    </xf>
    <xf numFmtId="10" fontId="0" fillId="0" borderId="0" xfId="0" applyNumberFormat="1" applyAlignment="1">
      <alignment horizontal="center" vertical="center" wrapText="1"/>
    </xf>
    <xf numFmtId="0" fontId="1" fillId="3" borderId="3" xfId="0" applyFont="1" applyFill="1"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6" borderId="11" xfId="0" applyFill="1" applyBorder="1" applyAlignment="1">
      <alignment horizontal="left" vertical="center" wrapText="1"/>
    </xf>
    <xf numFmtId="0" fontId="0" fillId="0" borderId="8" xfId="0" applyBorder="1" applyAlignment="1">
      <alignment horizontal="left" vertical="center"/>
    </xf>
    <xf numFmtId="0" fontId="0" fillId="13" borderId="0" xfId="0" applyFill="1" applyAlignment="1">
      <alignment horizontal="left" vertical="center" wrapText="1"/>
    </xf>
    <xf numFmtId="0" fontId="0" fillId="6" borderId="8" xfId="0" applyFill="1" applyBorder="1" applyAlignment="1">
      <alignment horizontal="left" vertical="center"/>
    </xf>
    <xf numFmtId="0" fontId="0" fillId="12" borderId="1" xfId="0" applyFill="1" applyBorder="1" applyAlignment="1">
      <alignment horizontal="center" vertical="center" wrapText="1"/>
    </xf>
    <xf numFmtId="0" fontId="12" fillId="0" borderId="1" xfId="0" applyFont="1" applyBorder="1" applyAlignment="1">
      <alignment horizontal="left" vertical="center" wrapText="1"/>
    </xf>
    <xf numFmtId="0" fontId="12" fillId="1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2" borderId="0" xfId="0" applyFont="1" applyFill="1" applyAlignment="1">
      <alignment horizontal="left" vertical="center" wrapText="1"/>
    </xf>
    <xf numFmtId="0" fontId="11" fillId="3" borderId="2" xfId="0" applyFont="1" applyFill="1" applyBorder="1" applyAlignment="1">
      <alignment horizontal="left" vertical="center" wrapText="1"/>
    </xf>
    <xf numFmtId="0" fontId="13" fillId="0" borderId="1" xfId="0" applyFont="1" applyBorder="1" applyAlignment="1">
      <alignment horizontal="left" wrapText="1"/>
    </xf>
    <xf numFmtId="0" fontId="12" fillId="0" borderId="8" xfId="0" applyFont="1" applyBorder="1" applyAlignment="1">
      <alignment horizontal="left" wrapText="1"/>
    </xf>
    <xf numFmtId="0" fontId="12" fillId="0" borderId="11" xfId="0" applyFont="1" applyBorder="1" applyAlignment="1">
      <alignment horizontal="left" wrapText="1"/>
    </xf>
    <xf numFmtId="0" fontId="14" fillId="10" borderId="8" xfId="0" applyFont="1" applyFill="1" applyBorder="1" applyAlignment="1">
      <alignment horizontal="left" wrapText="1"/>
    </xf>
    <xf numFmtId="0" fontId="12" fillId="13" borderId="0" xfId="0" applyFont="1" applyFill="1" applyAlignment="1">
      <alignment horizontal="left" wrapText="1"/>
    </xf>
    <xf numFmtId="0" fontId="12" fillId="0" borderId="0" xfId="0" applyFont="1" applyAlignment="1">
      <alignment horizontal="left" wrapText="1"/>
    </xf>
    <xf numFmtId="0" fontId="12" fillId="18" borderId="0" xfId="0" applyFont="1" applyFill="1" applyAlignment="1">
      <alignment horizontal="left"/>
    </xf>
    <xf numFmtId="0" fontId="12" fillId="19" borderId="0" xfId="0" applyFont="1" applyFill="1" applyAlignment="1">
      <alignment horizontal="left"/>
    </xf>
    <xf numFmtId="0" fontId="15" fillId="17" borderId="0" xfId="0" applyFont="1" applyFill="1" applyAlignment="1">
      <alignment horizontal="left"/>
    </xf>
    <xf numFmtId="0" fontId="15" fillId="20" borderId="0" xfId="0" applyFont="1" applyFill="1" applyAlignment="1">
      <alignment horizontal="left"/>
    </xf>
    <xf numFmtId="0" fontId="12" fillId="6" borderId="8" xfId="0" applyFont="1" applyFill="1" applyBorder="1" applyAlignment="1">
      <alignment horizontal="left" wrapText="1"/>
    </xf>
    <xf numFmtId="0" fontId="12" fillId="0" borderId="0" xfId="0" applyFont="1" applyAlignment="1">
      <alignment horizontal="left"/>
    </xf>
    <xf numFmtId="0" fontId="0" fillId="21" borderId="0" xfId="0" applyFill="1" applyAlignment="1">
      <alignment horizontal="center" vertical="center"/>
    </xf>
    <xf numFmtId="0" fontId="0" fillId="15" borderId="6" xfId="0" applyFill="1" applyBorder="1" applyAlignment="1">
      <alignment horizontal="center" vertical="center" wrapText="1"/>
    </xf>
    <xf numFmtId="0" fontId="16" fillId="0" borderId="0" xfId="0" applyFont="1" applyAlignment="1">
      <alignment horizontal="left" vertical="center" wrapText="1"/>
    </xf>
    <xf numFmtId="0" fontId="17"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7" fillId="11" borderId="1" xfId="0" applyFont="1" applyFill="1" applyBorder="1" applyAlignment="1">
      <alignment horizontal="center" vertical="center" wrapText="1"/>
    </xf>
    <xf numFmtId="0" fontId="0" fillId="0" borderId="1" xfId="0" applyBorder="1" applyAlignment="1">
      <alignment horizontal="center" wrapText="1"/>
    </xf>
    <xf numFmtId="0" fontId="4" fillId="11" borderId="1" xfId="0" applyFont="1" applyFill="1" applyBorder="1" applyAlignment="1">
      <alignment horizontal="center" vertical="center" wrapText="1"/>
    </xf>
    <xf numFmtId="0" fontId="0" fillId="11" borderId="1" xfId="0" applyFill="1" applyBorder="1" applyAlignment="1">
      <alignment horizontal="center" wrapText="1"/>
    </xf>
    <xf numFmtId="0" fontId="18" fillId="0" borderId="0" xfId="0" applyFont="1" applyAlignment="1">
      <alignment horizontal="center" wrapText="1"/>
    </xf>
    <xf numFmtId="0" fontId="18" fillId="0" borderId="0" xfId="0" applyFont="1" applyAlignment="1">
      <alignment horizontal="center" vertical="center" wrapText="1"/>
    </xf>
    <xf numFmtId="0" fontId="19" fillId="10" borderId="20" xfId="0" applyFont="1" applyFill="1" applyBorder="1" applyAlignment="1">
      <alignment horizontal="center" vertical="center" wrapText="1"/>
    </xf>
    <xf numFmtId="0" fontId="17" fillId="22" borderId="1" xfId="0" applyFont="1" applyFill="1" applyBorder="1" applyAlignment="1">
      <alignment horizontal="center" vertical="center" wrapText="1"/>
    </xf>
    <xf numFmtId="0" fontId="0" fillId="22" borderId="1" xfId="0" applyFill="1" applyBorder="1" applyAlignment="1">
      <alignment horizontal="center" vertical="center" wrapText="1"/>
    </xf>
    <xf numFmtId="0" fontId="0" fillId="22"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Number of Sensors</c:v>
          </c:tx>
          <c:spPr>
            <a:ln w="25400" cap="rnd">
              <a:noFill/>
              <a:round/>
            </a:ln>
            <a:effectLst/>
          </c:spPr>
          <c:marker>
            <c:symbol val="circle"/>
            <c:size val="5"/>
            <c:spPr>
              <a:solidFill>
                <a:schemeClr val="accent1"/>
              </a:solidFill>
              <a:ln w="9525">
                <a:solidFill>
                  <a:schemeClr val="accent1"/>
                </a:solidFill>
              </a:ln>
              <a:effectLst/>
            </c:spPr>
          </c:marker>
          <c:xVal>
            <c:numRef>
              <c:f>'sensors vs posture'!$A$1:$A$24</c:f>
              <c:numCache>
                <c:formatCode>General</c:formatCode>
                <c:ptCount val="24"/>
                <c:pt idx="0">
                  <c:v>5</c:v>
                </c:pt>
                <c:pt idx="1">
                  <c:v>4</c:v>
                </c:pt>
                <c:pt idx="2">
                  <c:v>8</c:v>
                </c:pt>
                <c:pt idx="3">
                  <c:v>4</c:v>
                </c:pt>
                <c:pt idx="4">
                  <c:v>8</c:v>
                </c:pt>
                <c:pt idx="5">
                  <c:v>8</c:v>
                </c:pt>
                <c:pt idx="6">
                  <c:v>9</c:v>
                </c:pt>
                <c:pt idx="7">
                  <c:v>6</c:v>
                </c:pt>
                <c:pt idx="8">
                  <c:v>6</c:v>
                </c:pt>
                <c:pt idx="9">
                  <c:v>10</c:v>
                </c:pt>
                <c:pt idx="10">
                  <c:v>9</c:v>
                </c:pt>
                <c:pt idx="11">
                  <c:v>6</c:v>
                </c:pt>
                <c:pt idx="12">
                  <c:v>6</c:v>
                </c:pt>
                <c:pt idx="13">
                  <c:v>9</c:v>
                </c:pt>
                <c:pt idx="14">
                  <c:v>1</c:v>
                </c:pt>
                <c:pt idx="15">
                  <c:v>4</c:v>
                </c:pt>
                <c:pt idx="16">
                  <c:v>4</c:v>
                </c:pt>
                <c:pt idx="17">
                  <c:v>9</c:v>
                </c:pt>
                <c:pt idx="18">
                  <c:v>1</c:v>
                </c:pt>
                <c:pt idx="19">
                  <c:v>1</c:v>
                </c:pt>
                <c:pt idx="20">
                  <c:v>2</c:v>
                </c:pt>
                <c:pt idx="21">
                  <c:v>1</c:v>
                </c:pt>
              </c:numCache>
            </c:numRef>
          </c:xVal>
          <c:yVal>
            <c:numRef>
              <c:f>'sensors vs posture'!$B$1:$B$24</c:f>
              <c:numCache>
                <c:formatCode>General</c:formatCode>
                <c:ptCount val="24"/>
                <c:pt idx="0">
                  <c:v>6</c:v>
                </c:pt>
                <c:pt idx="1">
                  <c:v>2</c:v>
                </c:pt>
                <c:pt idx="2">
                  <c:v>5</c:v>
                </c:pt>
                <c:pt idx="3">
                  <c:v>2</c:v>
                </c:pt>
                <c:pt idx="4">
                  <c:v>6</c:v>
                </c:pt>
                <c:pt idx="5">
                  <c:v>12</c:v>
                </c:pt>
                <c:pt idx="6">
                  <c:v>5</c:v>
                </c:pt>
                <c:pt idx="7">
                  <c:v>6</c:v>
                </c:pt>
                <c:pt idx="8">
                  <c:v>6</c:v>
                </c:pt>
                <c:pt idx="9">
                  <c:v>11</c:v>
                </c:pt>
                <c:pt idx="10">
                  <c:v>15</c:v>
                </c:pt>
                <c:pt idx="11">
                  <c:v>7</c:v>
                </c:pt>
                <c:pt idx="13">
                  <c:v>11</c:v>
                </c:pt>
                <c:pt idx="14">
                  <c:v>3</c:v>
                </c:pt>
                <c:pt idx="15">
                  <c:v>6</c:v>
                </c:pt>
                <c:pt idx="16">
                  <c:v>9</c:v>
                </c:pt>
                <c:pt idx="17">
                  <c:v>7</c:v>
                </c:pt>
                <c:pt idx="18">
                  <c:v>5</c:v>
                </c:pt>
                <c:pt idx="19">
                  <c:v>4</c:v>
                </c:pt>
                <c:pt idx="20">
                  <c:v>4</c:v>
                </c:pt>
                <c:pt idx="21">
                  <c:v>9</c:v>
                </c:pt>
              </c:numCache>
            </c:numRef>
          </c:yVal>
          <c:smooth val="0"/>
          <c:extLst>
            <c:ext xmlns:c16="http://schemas.microsoft.com/office/drawing/2014/chart" uri="{C3380CC4-5D6E-409C-BE32-E72D297353CC}">
              <c16:uniqueId val="{00000001-576B-4D67-82F3-73EC2A115A75}"/>
            </c:ext>
          </c:extLst>
        </c:ser>
        <c:dLbls>
          <c:showLegendKey val="0"/>
          <c:showVal val="0"/>
          <c:showCatName val="0"/>
          <c:showSerName val="0"/>
          <c:showPercent val="0"/>
          <c:showBubbleSize val="0"/>
        </c:dLbls>
        <c:axId val="205776768"/>
        <c:axId val="206832000"/>
      </c:scatterChart>
      <c:valAx>
        <c:axId val="205776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Number of Sensors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6832000"/>
        <c:crosses val="autoZero"/>
        <c:crossBetween val="midCat"/>
      </c:valAx>
      <c:valAx>
        <c:axId val="2068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Number of Postures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776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strRef>
              <c:f>'sensors vs posture'!$I$1:$I$4</c:f>
              <c:strCache>
                <c:ptCount val="4"/>
                <c:pt idx="0">
                  <c:v>A</c:v>
                </c:pt>
                <c:pt idx="1">
                  <c:v>B</c:v>
                </c:pt>
                <c:pt idx="2">
                  <c:v>C</c:v>
                </c:pt>
                <c:pt idx="3">
                  <c:v>D</c:v>
                </c:pt>
              </c:strCache>
            </c:strRef>
          </c:xVal>
          <c:yVal>
            <c:numRef>
              <c:f>'sensors vs posture'!$J$1:$J$4</c:f>
              <c:numCache>
                <c:formatCode>General</c:formatCode>
                <c:ptCount val="4"/>
                <c:pt idx="0">
                  <c:v>4</c:v>
                </c:pt>
                <c:pt idx="1">
                  <c:v>4</c:v>
                </c:pt>
                <c:pt idx="2">
                  <c:v>7</c:v>
                </c:pt>
                <c:pt idx="3">
                  <c:v>5</c:v>
                </c:pt>
              </c:numCache>
            </c:numRef>
          </c:yVal>
          <c:smooth val="0"/>
          <c:extLst>
            <c:ext xmlns:c16="http://schemas.microsoft.com/office/drawing/2014/chart" uri="{C3380CC4-5D6E-409C-BE32-E72D297353CC}">
              <c16:uniqueId val="{0000000E-A6A8-4F5F-8643-A0A0E7338C67}"/>
            </c:ext>
          </c:extLst>
        </c:ser>
        <c:ser>
          <c:idx val="1"/>
          <c:order val="1"/>
          <c:spPr>
            <a:ln w="25400" cap="rnd">
              <a:solidFill>
                <a:srgbClr val="4472C4"/>
              </a:solidFill>
              <a:prstDash val="solid"/>
              <a:round/>
            </a:ln>
            <a:effectLst/>
          </c:spPr>
          <c:marker>
            <c:symbol val="circle"/>
            <c:size val="5"/>
            <c:spPr>
              <a:solidFill>
                <a:srgbClr val="0070C0"/>
              </a:solidFill>
              <a:ln w="9525">
                <a:solidFill>
                  <a:srgbClr val="4472C4"/>
                </a:solidFill>
                <a:prstDash val="solid"/>
              </a:ln>
              <a:effectLst/>
            </c:spPr>
          </c:marker>
          <c:xVal>
            <c:strRef>
              <c:f>'sensors vs posture'!$I$1:$I$4</c:f>
              <c:strCache>
                <c:ptCount val="4"/>
                <c:pt idx="0">
                  <c:v>A</c:v>
                </c:pt>
                <c:pt idx="1">
                  <c:v>B</c:v>
                </c:pt>
                <c:pt idx="2">
                  <c:v>C</c:v>
                </c:pt>
                <c:pt idx="3">
                  <c:v>D</c:v>
                </c:pt>
              </c:strCache>
            </c:strRef>
          </c:xVal>
          <c:yVal>
            <c:numRef>
              <c:f>'sensors vs posture'!$K$1:$K$4</c:f>
              <c:numCache>
                <c:formatCode>General</c:formatCode>
                <c:ptCount val="4"/>
                <c:pt idx="1">
                  <c:v>6</c:v>
                </c:pt>
                <c:pt idx="3">
                  <c:v>6</c:v>
                </c:pt>
              </c:numCache>
            </c:numRef>
          </c:yVal>
          <c:smooth val="0"/>
          <c:extLst>
            <c:ext xmlns:c16="http://schemas.microsoft.com/office/drawing/2014/chart" uri="{C3380CC4-5D6E-409C-BE32-E72D297353CC}">
              <c16:uniqueId val="{00000010-A6A8-4F5F-8643-A0A0E7338C67}"/>
            </c:ext>
          </c:extLst>
        </c:ser>
        <c:ser>
          <c:idx val="2"/>
          <c:order val="2"/>
          <c:spPr>
            <a:ln w="25400" cap="rnd">
              <a:solidFill>
                <a:srgbClr val="4472C4"/>
              </a:solidFill>
              <a:prstDash val="solid"/>
              <a:round/>
            </a:ln>
            <a:effectLst/>
          </c:spPr>
          <c:marker>
            <c:symbol val="circle"/>
            <c:size val="5"/>
            <c:spPr>
              <a:solidFill>
                <a:srgbClr val="0070C0"/>
              </a:solidFill>
              <a:ln w="9525">
                <a:solidFill>
                  <a:srgbClr val="4472C4"/>
                </a:solidFill>
                <a:prstDash val="solid"/>
              </a:ln>
              <a:effectLst/>
            </c:spPr>
          </c:marker>
          <c:xVal>
            <c:strRef>
              <c:f>'sensors vs posture'!$I$1:$I$4</c:f>
              <c:strCache>
                <c:ptCount val="4"/>
                <c:pt idx="0">
                  <c:v>A</c:v>
                </c:pt>
                <c:pt idx="1">
                  <c:v>B</c:v>
                </c:pt>
                <c:pt idx="2">
                  <c:v>C</c:v>
                </c:pt>
                <c:pt idx="3">
                  <c:v>D</c:v>
                </c:pt>
              </c:strCache>
            </c:strRef>
          </c:xVal>
          <c:yVal>
            <c:numRef>
              <c:f>'sensors vs posture'!$L$1:$L$4</c:f>
              <c:numCache>
                <c:formatCode>General</c:formatCode>
                <c:ptCount val="4"/>
                <c:pt idx="1">
                  <c:v>8</c:v>
                </c:pt>
                <c:pt idx="3">
                  <c:v>10</c:v>
                </c:pt>
              </c:numCache>
            </c:numRef>
          </c:yVal>
          <c:smooth val="0"/>
          <c:extLst>
            <c:ext xmlns:c16="http://schemas.microsoft.com/office/drawing/2014/chart" uri="{C3380CC4-5D6E-409C-BE32-E72D297353CC}">
              <c16:uniqueId val="{00000012-A6A8-4F5F-8643-A0A0E7338C67}"/>
            </c:ext>
          </c:extLst>
        </c:ser>
        <c:dLbls>
          <c:showLegendKey val="0"/>
          <c:showVal val="0"/>
          <c:showCatName val="0"/>
          <c:showSerName val="0"/>
          <c:showPercent val="0"/>
          <c:showBubbleSize val="0"/>
        </c:dLbls>
        <c:axId val="206862208"/>
        <c:axId val="206881152"/>
      </c:scatterChart>
      <c:valAx>
        <c:axId val="206862208"/>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Array Size</a:t>
                </a:r>
              </a:p>
            </c:rich>
          </c:tx>
          <c:layout>
            <c:manualLayout>
              <c:xMode val="edge"/>
              <c:yMode val="edge"/>
              <c:x val="0.44985394233844561"/>
              <c:y val="0.9233540026246720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A" sourceLinked="0"/>
        <c:majorTickMark val="none"/>
        <c:minorTickMark val="none"/>
        <c:tickLblPos val="nextTo"/>
        <c:crossAx val="206881152"/>
        <c:crosses val="autoZero"/>
        <c:crossBetween val="midCat"/>
      </c:valAx>
      <c:valAx>
        <c:axId val="20688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Number of postures </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a:ea typeface="Times"/>
                <a:cs typeface="Times"/>
              </a:defRPr>
            </a:pPr>
            <a:endParaRPr lang="en-US"/>
          </a:p>
        </c:txPr>
        <c:crossAx val="206862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171450</xdr:colOff>
      <xdr:row>18</xdr:row>
      <xdr:rowOff>28575</xdr:rowOff>
    </xdr:from>
    <xdr:to>
      <xdr:col>10</xdr:col>
      <xdr:colOff>476250</xdr:colOff>
      <xdr:row>32</xdr:row>
      <xdr:rowOff>104775</xdr:rowOff>
    </xdr:to>
    <xdr:graphicFrame macro="">
      <xdr:nvGraphicFramePr>
        <xdr:cNvPr id="3" name="Chart 2">
          <a:extLst>
            <a:ext uri="{FF2B5EF4-FFF2-40B4-BE49-F238E27FC236}">
              <a16:creationId xmlns:a16="http://schemas.microsoft.com/office/drawing/2014/main" id="{3438D0AA-A794-226F-B77F-BDA6678BA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476250</xdr:colOff>
      <xdr:row>15</xdr:row>
      <xdr:rowOff>28575</xdr:rowOff>
    </xdr:from>
    <xdr:to>
      <xdr:col>20</xdr:col>
      <xdr:colOff>523875</xdr:colOff>
      <xdr:row>31</xdr:row>
      <xdr:rowOff>38100</xdr:rowOff>
    </xdr:to>
    <xdr:graphicFrame macro="">
      <xdr:nvGraphicFramePr>
        <xdr:cNvPr id="7" name="Chart 6" title="4x4">
          <a:extLst>
            <a:ext uri="{FF2B5EF4-FFF2-40B4-BE49-F238E27FC236}">
              <a16:creationId xmlns:a16="http://schemas.microsoft.com/office/drawing/2014/main" id="{83A80AF6-1E55-9C8F-2082-B65F3C55816E}"/>
            </a:ext>
            <a:ext uri="{147F2762-F138-4A5C-976F-8EAC2B608ADB}">
              <a16:predDERef xmlns:a16="http://schemas.microsoft.com/office/drawing/2014/main" pred="{3438D0AA-A794-226F-B77F-BDA6678BA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sciencedirect.com/topics/computer-science/piezoresistive-senso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topics/computer-science/piezoresistive-senso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63"/>
  <sheetViews>
    <sheetView tabSelected="1" zoomScale="85" zoomScaleNormal="85" workbookViewId="0">
      <pane ySplit="1" topLeftCell="A107" activePane="bottomLeft" state="frozen"/>
      <selection activeCell="S1" sqref="S1"/>
      <selection pane="bottomLeft" activeCell="G114" sqref="G114"/>
    </sheetView>
  </sheetViews>
  <sheetFormatPr defaultColWidth="13.28515625" defaultRowHeight="63.75" customHeight="1" x14ac:dyDescent="0.25"/>
  <cols>
    <col min="1" max="2" width="13.28515625" style="194"/>
    <col min="3" max="3" width="39.5703125" style="194" customWidth="1"/>
    <col min="4" max="4" width="13.42578125" style="22" bestFit="1" customWidth="1"/>
    <col min="5" max="6" width="13.28515625" style="22" customWidth="1"/>
    <col min="7" max="7" width="17.5703125" style="22" customWidth="1"/>
    <col min="8" max="8" width="21.42578125" style="22" customWidth="1"/>
    <col min="9" max="9" width="17.42578125" style="22" customWidth="1"/>
    <col min="10" max="10" width="15.42578125" style="22" customWidth="1"/>
    <col min="11" max="12" width="13.28515625" style="22" customWidth="1"/>
    <col min="13" max="14" width="22.85546875" style="22" customWidth="1"/>
    <col min="15" max="15" width="16.5703125" style="22" customWidth="1"/>
    <col min="16" max="18" width="22.85546875" style="22" customWidth="1"/>
    <col min="19" max="19" width="13.7109375" style="22" customWidth="1"/>
    <col min="20" max="20" width="43.7109375" style="22" customWidth="1"/>
    <col min="21" max="21" width="22.140625" style="22" customWidth="1"/>
    <col min="22" max="23" width="34" style="22" customWidth="1"/>
    <col min="24" max="24" width="21.28515625" style="22" customWidth="1"/>
    <col min="25" max="25" width="20.140625" style="22" customWidth="1"/>
    <col min="26" max="26" width="17.7109375" style="22" customWidth="1"/>
    <col min="27" max="27" width="21.85546875" style="22" bestFit="1" customWidth="1"/>
    <col min="28" max="29" width="21.85546875" style="22" customWidth="1"/>
    <col min="30" max="30" width="29.85546875" style="194" customWidth="1"/>
    <col min="31" max="31" width="26.85546875" style="194" customWidth="1"/>
    <col min="32" max="16384" width="13.28515625" style="194"/>
  </cols>
  <sheetData>
    <row r="1" spans="1:31" ht="63.75" customHeight="1" x14ac:dyDescent="0.25">
      <c r="A1" s="191" t="s">
        <v>629</v>
      </c>
      <c r="B1" s="191"/>
      <c r="C1" s="191" t="s">
        <v>0</v>
      </c>
      <c r="D1" s="191" t="s">
        <v>1</v>
      </c>
      <c r="E1" s="191" t="s">
        <v>2</v>
      </c>
      <c r="F1" s="191" t="s">
        <v>164</v>
      </c>
      <c r="G1" s="191" t="s">
        <v>3</v>
      </c>
      <c r="H1" s="191" t="s">
        <v>4</v>
      </c>
      <c r="I1" s="191" t="s">
        <v>5</v>
      </c>
      <c r="J1" s="191" t="s">
        <v>6</v>
      </c>
      <c r="K1" s="191" t="s">
        <v>7</v>
      </c>
      <c r="L1" s="191" t="s">
        <v>524</v>
      </c>
      <c r="M1" s="191" t="s">
        <v>8</v>
      </c>
      <c r="N1" s="191" t="s">
        <v>167</v>
      </c>
      <c r="O1" s="191" t="s">
        <v>168</v>
      </c>
      <c r="P1" s="191" t="s">
        <v>165</v>
      </c>
      <c r="Q1" s="191" t="s">
        <v>166</v>
      </c>
      <c r="R1" s="191" t="s">
        <v>498</v>
      </c>
      <c r="S1" s="191" t="s">
        <v>169</v>
      </c>
      <c r="T1" s="191" t="s">
        <v>170</v>
      </c>
      <c r="U1" s="191" t="s">
        <v>171</v>
      </c>
      <c r="V1" s="191" t="s">
        <v>172</v>
      </c>
      <c r="W1" s="191" t="s">
        <v>499</v>
      </c>
      <c r="X1" s="191" t="s">
        <v>173</v>
      </c>
      <c r="Y1" s="191" t="s">
        <v>174</v>
      </c>
      <c r="Z1" s="191" t="s">
        <v>175</v>
      </c>
      <c r="AA1" s="191" t="s">
        <v>176</v>
      </c>
      <c r="AB1" s="191" t="s">
        <v>177</v>
      </c>
      <c r="AC1" s="191" t="s">
        <v>178</v>
      </c>
      <c r="AD1" s="191" t="s">
        <v>379</v>
      </c>
      <c r="AE1" s="191" t="s">
        <v>375</v>
      </c>
    </row>
    <row r="2" spans="1:31" ht="63.75" customHeight="1" x14ac:dyDescent="0.25">
      <c r="A2" s="190">
        <v>1</v>
      </c>
      <c r="B2" s="190">
        <f>COUNTIF(C1:C102,C2)</f>
        <v>1</v>
      </c>
      <c r="C2" s="22" t="s">
        <v>500</v>
      </c>
      <c r="D2" s="22" t="s">
        <v>501</v>
      </c>
      <c r="E2" s="22">
        <v>2021</v>
      </c>
      <c r="F2" s="22" t="s">
        <v>502</v>
      </c>
      <c r="G2" s="22" t="s">
        <v>11</v>
      </c>
      <c r="H2" s="22" t="s">
        <v>594</v>
      </c>
      <c r="I2" s="22" t="s">
        <v>521</v>
      </c>
      <c r="J2" s="22" t="s">
        <v>503</v>
      </c>
      <c r="K2" s="22" t="s">
        <v>504</v>
      </c>
      <c r="M2" s="22" t="s">
        <v>505</v>
      </c>
      <c r="N2" s="22" t="s">
        <v>506</v>
      </c>
      <c r="O2" s="22" t="s">
        <v>507</v>
      </c>
      <c r="P2" s="22" t="s">
        <v>508</v>
      </c>
      <c r="Q2" s="22" t="s">
        <v>508</v>
      </c>
      <c r="R2" s="22" t="s">
        <v>508</v>
      </c>
      <c r="S2" s="22">
        <v>4</v>
      </c>
      <c r="T2" s="22" t="s">
        <v>509</v>
      </c>
      <c r="U2" s="22" t="s">
        <v>510</v>
      </c>
      <c r="V2" s="22" t="s">
        <v>511</v>
      </c>
      <c r="X2" s="22" t="s">
        <v>193</v>
      </c>
      <c r="Y2" s="22" t="s">
        <v>512</v>
      </c>
      <c r="Z2" s="22" t="s">
        <v>513</v>
      </c>
      <c r="AA2" s="72" t="s">
        <v>514</v>
      </c>
      <c r="AB2" s="72" t="s">
        <v>515</v>
      </c>
      <c r="AC2" s="72"/>
      <c r="AD2" s="22" t="s">
        <v>516</v>
      </c>
      <c r="AE2" s="22" t="s">
        <v>517</v>
      </c>
    </row>
    <row r="3" spans="1:31" ht="63.75" customHeight="1" x14ac:dyDescent="0.25">
      <c r="A3" s="190">
        <v>2</v>
      </c>
      <c r="B3" s="190">
        <f>COUNTIF(C2:C103,C3)</f>
        <v>1</v>
      </c>
      <c r="C3" s="22" t="s">
        <v>613</v>
      </c>
      <c r="D3" s="22" t="s">
        <v>614</v>
      </c>
      <c r="E3" s="22">
        <v>2021</v>
      </c>
      <c r="F3" s="22" t="s">
        <v>615</v>
      </c>
      <c r="G3" s="22" t="s">
        <v>616</v>
      </c>
      <c r="H3" s="22" t="s">
        <v>617</v>
      </c>
      <c r="I3" s="22" t="s">
        <v>193</v>
      </c>
      <c r="J3" s="22" t="s">
        <v>618</v>
      </c>
      <c r="K3" s="22">
        <v>64</v>
      </c>
      <c r="M3" s="22" t="s">
        <v>619</v>
      </c>
      <c r="N3" s="22" t="s">
        <v>620</v>
      </c>
      <c r="O3" s="22" t="s">
        <v>621</v>
      </c>
      <c r="P3" s="22" t="s">
        <v>622</v>
      </c>
      <c r="Q3" s="22" t="s">
        <v>586</v>
      </c>
      <c r="R3" s="22" t="s">
        <v>623</v>
      </c>
      <c r="S3" s="22">
        <v>4</v>
      </c>
      <c r="T3" s="22" t="s">
        <v>624</v>
      </c>
      <c r="U3" s="22" t="s">
        <v>625</v>
      </c>
      <c r="V3" s="22" t="s">
        <v>205</v>
      </c>
      <c r="X3" s="22" t="s">
        <v>193</v>
      </c>
      <c r="Y3" s="22" t="s">
        <v>626</v>
      </c>
      <c r="Z3" s="74">
        <v>0.92</v>
      </c>
      <c r="AA3" s="72">
        <v>0.84</v>
      </c>
      <c r="AB3" s="72">
        <v>0.91</v>
      </c>
      <c r="AC3" s="72">
        <v>0.84</v>
      </c>
      <c r="AD3" s="22" t="s">
        <v>627</v>
      </c>
      <c r="AE3" s="22" t="s">
        <v>628</v>
      </c>
    </row>
    <row r="4" spans="1:31" ht="63.75" customHeight="1" x14ac:dyDescent="0.25">
      <c r="A4" s="190">
        <v>3</v>
      </c>
      <c r="B4" s="190">
        <f>COUNTIF(C3:C104,C4)</f>
        <v>1</v>
      </c>
      <c r="C4" s="192" t="s">
        <v>518</v>
      </c>
      <c r="D4" s="192" t="s">
        <v>519</v>
      </c>
      <c r="E4" s="192">
        <v>2021</v>
      </c>
      <c r="F4" s="22" t="s">
        <v>187</v>
      </c>
      <c r="G4" s="22" t="s">
        <v>11</v>
      </c>
      <c r="H4" s="22" t="s">
        <v>520</v>
      </c>
      <c r="I4" s="22" t="s">
        <v>521</v>
      </c>
      <c r="J4" s="22" t="s">
        <v>522</v>
      </c>
      <c r="K4" s="22" t="s">
        <v>523</v>
      </c>
      <c r="L4" s="22" t="s">
        <v>525</v>
      </c>
      <c r="M4" s="22" t="s">
        <v>505</v>
      </c>
      <c r="N4" s="22" t="s">
        <v>526</v>
      </c>
      <c r="O4" s="22" t="s">
        <v>532</v>
      </c>
      <c r="P4" s="22" t="s">
        <v>527</v>
      </c>
      <c r="Q4" s="22" t="s">
        <v>533</v>
      </c>
      <c r="R4" s="22" t="s">
        <v>534</v>
      </c>
      <c r="S4" s="22">
        <v>6</v>
      </c>
      <c r="T4" s="22" t="s">
        <v>535</v>
      </c>
      <c r="U4" s="22" t="s">
        <v>528</v>
      </c>
      <c r="V4" s="22" t="s">
        <v>536</v>
      </c>
      <c r="W4" s="22" t="s">
        <v>537</v>
      </c>
      <c r="X4" s="22" t="s">
        <v>538</v>
      </c>
      <c r="Y4" s="22" t="s">
        <v>529</v>
      </c>
      <c r="AA4" s="72" t="s">
        <v>530</v>
      </c>
      <c r="AB4" s="72"/>
      <c r="AC4" s="72"/>
      <c r="AD4" s="22" t="s">
        <v>539</v>
      </c>
      <c r="AE4" s="22" t="s">
        <v>531</v>
      </c>
    </row>
    <row r="5" spans="1:31" ht="63.75" customHeight="1" x14ac:dyDescent="0.25">
      <c r="A5" s="190">
        <v>4</v>
      </c>
      <c r="B5" s="190">
        <f>COUNTIF(C4:C105,C5)</f>
        <v>1</v>
      </c>
      <c r="C5" s="192" t="s">
        <v>540</v>
      </c>
      <c r="D5" s="192" t="s">
        <v>541</v>
      </c>
      <c r="E5" s="192">
        <v>2016</v>
      </c>
      <c r="F5" s="22" t="s">
        <v>542</v>
      </c>
      <c r="G5" s="22" t="s">
        <v>11</v>
      </c>
      <c r="I5" s="22" t="s">
        <v>543</v>
      </c>
      <c r="J5" s="22" t="s">
        <v>544</v>
      </c>
      <c r="M5" s="22" t="s">
        <v>545</v>
      </c>
      <c r="N5" s="22" t="s">
        <v>546</v>
      </c>
      <c r="O5" s="22" t="s">
        <v>547</v>
      </c>
      <c r="P5" s="22" t="s">
        <v>548</v>
      </c>
      <c r="R5" s="22" t="s">
        <v>549</v>
      </c>
      <c r="S5" s="22">
        <v>3</v>
      </c>
      <c r="T5" s="22" t="s">
        <v>550</v>
      </c>
      <c r="V5" s="22" t="s">
        <v>551</v>
      </c>
      <c r="X5" s="22" t="s">
        <v>552</v>
      </c>
      <c r="Y5" s="22" t="s">
        <v>553</v>
      </c>
      <c r="AA5" s="22" t="s">
        <v>554</v>
      </c>
      <c r="AB5" s="72" t="s">
        <v>555</v>
      </c>
      <c r="AC5" s="72"/>
      <c r="AD5" s="22" t="s">
        <v>556</v>
      </c>
      <c r="AE5" s="22" t="s">
        <v>557</v>
      </c>
    </row>
    <row r="6" spans="1:31" ht="63.75" customHeight="1" x14ac:dyDescent="0.25">
      <c r="A6" s="190">
        <v>5</v>
      </c>
      <c r="B6" s="190">
        <f>COUNTIF(C5:C106,C6)</f>
        <v>1</v>
      </c>
      <c r="C6" s="22" t="s">
        <v>595</v>
      </c>
      <c r="D6" s="22" t="s">
        <v>596</v>
      </c>
      <c r="E6" s="192">
        <v>2023</v>
      </c>
      <c r="G6" s="22" t="s">
        <v>597</v>
      </c>
      <c r="H6" s="22" t="s">
        <v>598</v>
      </c>
      <c r="I6" s="22" t="s">
        <v>599</v>
      </c>
      <c r="J6" s="22" t="s">
        <v>600</v>
      </c>
      <c r="L6" s="22" t="s">
        <v>601</v>
      </c>
      <c r="M6" s="22" t="s">
        <v>602</v>
      </c>
      <c r="N6" s="22" t="s">
        <v>603</v>
      </c>
      <c r="O6" s="22" t="s">
        <v>604</v>
      </c>
      <c r="P6" s="22" t="s">
        <v>586</v>
      </c>
      <c r="Q6" s="22" t="s">
        <v>586</v>
      </c>
      <c r="R6" s="22" t="s">
        <v>586</v>
      </c>
      <c r="S6" s="22" t="s">
        <v>605</v>
      </c>
      <c r="T6" s="22" t="s">
        <v>606</v>
      </c>
      <c r="U6" s="22" t="s">
        <v>607</v>
      </c>
      <c r="V6" s="22" t="s">
        <v>608</v>
      </c>
      <c r="X6" s="22" t="s">
        <v>609</v>
      </c>
      <c r="AA6" s="22" t="s">
        <v>610</v>
      </c>
      <c r="AB6" s="72"/>
      <c r="AC6" s="72"/>
      <c r="AD6" s="22" t="s">
        <v>611</v>
      </c>
      <c r="AE6" s="22" t="s">
        <v>612</v>
      </c>
    </row>
    <row r="7" spans="1:31" ht="63.75" customHeight="1" x14ac:dyDescent="0.25">
      <c r="A7" s="190">
        <v>6</v>
      </c>
      <c r="B7" s="190">
        <f>COUNTIF(C6:C107,C7)</f>
        <v>1</v>
      </c>
      <c r="C7" s="192" t="s">
        <v>558</v>
      </c>
      <c r="D7" s="22" t="s">
        <v>574</v>
      </c>
      <c r="E7" s="22">
        <v>2023</v>
      </c>
      <c r="F7" s="22" t="s">
        <v>187</v>
      </c>
      <c r="G7" s="22" t="s">
        <v>11</v>
      </c>
      <c r="H7" s="22" t="s">
        <v>559</v>
      </c>
      <c r="I7" s="22" t="s">
        <v>560</v>
      </c>
      <c r="J7" s="22" t="s">
        <v>561</v>
      </c>
      <c r="K7" s="22" t="s">
        <v>562</v>
      </c>
      <c r="M7" s="22" t="s">
        <v>563</v>
      </c>
      <c r="N7" s="22" t="s">
        <v>564</v>
      </c>
      <c r="O7" s="22" t="s">
        <v>565</v>
      </c>
      <c r="P7" s="22" t="s">
        <v>566</v>
      </c>
      <c r="Q7" s="22" t="s">
        <v>575</v>
      </c>
      <c r="R7" s="22" t="s">
        <v>567</v>
      </c>
      <c r="S7" s="22" t="s">
        <v>568</v>
      </c>
      <c r="T7" s="22" t="s">
        <v>569</v>
      </c>
      <c r="U7" s="22" t="s">
        <v>570</v>
      </c>
      <c r="V7" s="22" t="s">
        <v>571</v>
      </c>
      <c r="AA7" s="74">
        <v>0.93</v>
      </c>
      <c r="AD7" s="22" t="s">
        <v>572</v>
      </c>
      <c r="AE7" s="22" t="s">
        <v>573</v>
      </c>
    </row>
    <row r="8" spans="1:31" s="22" customFormat="1" ht="63.75" customHeight="1" x14ac:dyDescent="0.25">
      <c r="A8" s="190">
        <v>7</v>
      </c>
      <c r="B8" s="190">
        <f>COUNTIF(C7:C108,C8)</f>
        <v>1</v>
      </c>
      <c r="C8" s="192" t="s">
        <v>576</v>
      </c>
      <c r="D8" s="22" t="s">
        <v>577</v>
      </c>
      <c r="E8" s="22">
        <v>2024</v>
      </c>
      <c r="F8" s="22" t="s">
        <v>187</v>
      </c>
      <c r="G8" s="22" t="s">
        <v>578</v>
      </c>
      <c r="J8" s="22" t="s">
        <v>579</v>
      </c>
      <c r="K8" s="22" t="s">
        <v>580</v>
      </c>
      <c r="L8" s="22" t="s">
        <v>581</v>
      </c>
      <c r="M8" s="22" t="s">
        <v>582</v>
      </c>
      <c r="N8" s="22" t="s">
        <v>583</v>
      </c>
      <c r="P8" s="22" t="s">
        <v>584</v>
      </c>
      <c r="Q8" s="22" t="s">
        <v>12</v>
      </c>
      <c r="R8" s="22" t="s">
        <v>12</v>
      </c>
      <c r="S8" s="22">
        <v>4</v>
      </c>
      <c r="T8" s="22" t="s">
        <v>585</v>
      </c>
      <c r="U8" s="22" t="s">
        <v>586</v>
      </c>
      <c r="V8" s="22" t="s">
        <v>536</v>
      </c>
      <c r="W8" s="22" t="s">
        <v>586</v>
      </c>
      <c r="X8" s="22" t="s">
        <v>587</v>
      </c>
      <c r="Y8" s="22" t="s">
        <v>588</v>
      </c>
      <c r="Z8" s="22" t="s">
        <v>589</v>
      </c>
      <c r="AA8" s="22" t="s">
        <v>590</v>
      </c>
      <c r="AB8" s="72">
        <v>0.82699999999999996</v>
      </c>
      <c r="AC8" s="22" t="s">
        <v>591</v>
      </c>
      <c r="AD8" s="22" t="s">
        <v>592</v>
      </c>
      <c r="AE8" s="22" t="s">
        <v>593</v>
      </c>
    </row>
    <row r="9" spans="1:31" s="196" customFormat="1" ht="63.75" customHeight="1" x14ac:dyDescent="0.25">
      <c r="A9" s="193">
        <v>8</v>
      </c>
      <c r="B9" s="193">
        <f>COUNTIF(C8:C109,C9)</f>
        <v>1</v>
      </c>
      <c r="C9" s="195" t="s">
        <v>630</v>
      </c>
      <c r="D9" s="130" t="s">
        <v>631</v>
      </c>
      <c r="E9" s="130">
        <v>2020</v>
      </c>
      <c r="F9" s="130"/>
      <c r="G9" s="130"/>
      <c r="H9" s="130"/>
      <c r="I9" s="130"/>
      <c r="J9" s="130"/>
      <c r="K9" s="130"/>
      <c r="L9" s="130"/>
      <c r="M9" s="130"/>
      <c r="N9" s="130"/>
      <c r="O9" s="130"/>
      <c r="P9" s="130"/>
      <c r="Q9" s="130"/>
      <c r="R9" s="130"/>
      <c r="S9" s="130"/>
      <c r="T9" s="130"/>
      <c r="U9" s="130"/>
      <c r="V9" s="130"/>
      <c r="W9" s="130"/>
      <c r="X9" s="130"/>
      <c r="Y9" s="130"/>
      <c r="Z9" s="130"/>
      <c r="AA9" s="130"/>
      <c r="AB9" s="130"/>
      <c r="AC9" s="130"/>
    </row>
    <row r="10" spans="1:31" ht="63.75" customHeight="1" x14ac:dyDescent="0.25">
      <c r="A10" s="190">
        <v>9</v>
      </c>
      <c r="B10" s="190">
        <f>COUNTIF(C9:C110,C10)</f>
        <v>1</v>
      </c>
      <c r="C10" s="22" t="s">
        <v>632</v>
      </c>
      <c r="D10" s="22" t="s">
        <v>633</v>
      </c>
      <c r="E10" s="22">
        <v>2022</v>
      </c>
      <c r="G10" s="22" t="s">
        <v>924</v>
      </c>
      <c r="H10" s="22" t="s">
        <v>925</v>
      </c>
      <c r="I10" s="22" t="s">
        <v>806</v>
      </c>
      <c r="J10" s="22" t="s">
        <v>807</v>
      </c>
      <c r="K10" s="22">
        <v>1</v>
      </c>
      <c r="L10" s="22" t="s">
        <v>926</v>
      </c>
      <c r="M10" s="22" t="s">
        <v>927</v>
      </c>
      <c r="N10" s="22" t="s">
        <v>928</v>
      </c>
      <c r="O10" s="22" t="s">
        <v>929</v>
      </c>
      <c r="P10" s="22" t="s">
        <v>930</v>
      </c>
      <c r="Q10" s="22" t="s">
        <v>931</v>
      </c>
      <c r="R10" s="22" t="s">
        <v>931</v>
      </c>
      <c r="S10" s="22">
        <v>4</v>
      </c>
      <c r="T10" s="22" t="s">
        <v>932</v>
      </c>
      <c r="U10" s="22" t="s">
        <v>933</v>
      </c>
      <c r="V10" s="22" t="s">
        <v>934</v>
      </c>
      <c r="W10" s="22" t="s">
        <v>931</v>
      </c>
      <c r="Y10" s="22" t="s">
        <v>935</v>
      </c>
      <c r="Z10" s="22" t="s">
        <v>936</v>
      </c>
      <c r="AA10" s="22" t="s">
        <v>937</v>
      </c>
      <c r="AB10" s="22" t="s">
        <v>938</v>
      </c>
      <c r="AC10" s="22" t="s">
        <v>936</v>
      </c>
      <c r="AD10" s="194" t="s">
        <v>939</v>
      </c>
      <c r="AE10" s="194" t="s">
        <v>940</v>
      </c>
    </row>
    <row r="11" spans="1:31" ht="63.75" customHeight="1" x14ac:dyDescent="0.25">
      <c r="A11" s="190">
        <v>10</v>
      </c>
      <c r="B11" s="190">
        <f>COUNTIF(C10:C111,C11)</f>
        <v>1</v>
      </c>
      <c r="C11" s="22" t="s">
        <v>634</v>
      </c>
      <c r="D11" s="22" t="s">
        <v>633</v>
      </c>
      <c r="E11" s="22">
        <v>2023</v>
      </c>
      <c r="G11" s="22" t="s">
        <v>805</v>
      </c>
      <c r="H11" s="22" t="s">
        <v>807</v>
      </c>
      <c r="I11" s="22" t="s">
        <v>806</v>
      </c>
      <c r="J11" s="22" t="s">
        <v>808</v>
      </c>
      <c r="K11" s="22">
        <v>1</v>
      </c>
      <c r="M11" s="22" t="s">
        <v>809</v>
      </c>
      <c r="N11" s="22" t="s">
        <v>810</v>
      </c>
      <c r="O11" s="22" t="s">
        <v>811</v>
      </c>
      <c r="P11" s="22" t="s">
        <v>812</v>
      </c>
      <c r="Q11" s="22" t="s">
        <v>813</v>
      </c>
      <c r="R11" s="22" t="s">
        <v>814</v>
      </c>
      <c r="S11" s="22">
        <v>4</v>
      </c>
      <c r="T11" s="22" t="s">
        <v>826</v>
      </c>
      <c r="U11" s="22" t="s">
        <v>815</v>
      </c>
      <c r="V11" s="22" t="s">
        <v>816</v>
      </c>
      <c r="W11" s="22" t="s">
        <v>817</v>
      </c>
      <c r="X11" s="22" t="s">
        <v>818</v>
      </c>
      <c r="Y11" s="22" t="s">
        <v>819</v>
      </c>
      <c r="Z11" s="22" t="s">
        <v>820</v>
      </c>
      <c r="AA11" s="22" t="s">
        <v>821</v>
      </c>
      <c r="AB11" s="22" t="s">
        <v>822</v>
      </c>
      <c r="AC11" s="22" t="s">
        <v>823</v>
      </c>
      <c r="AD11" s="194" t="s">
        <v>824</v>
      </c>
      <c r="AE11" s="194" t="s">
        <v>825</v>
      </c>
    </row>
    <row r="12" spans="1:31" ht="63.75" customHeight="1" x14ac:dyDescent="0.25">
      <c r="A12" s="190">
        <v>11</v>
      </c>
      <c r="B12" s="190">
        <f>COUNTIF(C11:C112,C12)</f>
        <v>1</v>
      </c>
      <c r="C12" s="22" t="s">
        <v>635</v>
      </c>
      <c r="D12" s="22" t="s">
        <v>636</v>
      </c>
      <c r="E12" s="22">
        <v>2022</v>
      </c>
      <c r="G12" s="22" t="s">
        <v>900</v>
      </c>
      <c r="H12" s="22" t="s">
        <v>901</v>
      </c>
      <c r="I12" s="22" t="s">
        <v>902</v>
      </c>
      <c r="J12" s="22" t="s">
        <v>903</v>
      </c>
      <c r="K12" s="22" t="s">
        <v>904</v>
      </c>
      <c r="L12" s="22" t="s">
        <v>905</v>
      </c>
      <c r="M12" s="22" t="s">
        <v>906</v>
      </c>
      <c r="N12" s="22" t="s">
        <v>907</v>
      </c>
      <c r="O12" s="22" t="s">
        <v>908</v>
      </c>
      <c r="P12" s="22" t="s">
        <v>909</v>
      </c>
      <c r="Q12" s="22" t="s">
        <v>910</v>
      </c>
      <c r="S12" s="22" t="s">
        <v>911</v>
      </c>
      <c r="T12" s="22" t="s">
        <v>912</v>
      </c>
      <c r="U12" s="22" t="s">
        <v>913</v>
      </c>
      <c r="V12" s="22" t="s">
        <v>914</v>
      </c>
      <c r="W12" s="22" t="s">
        <v>915</v>
      </c>
      <c r="X12" s="22" t="s">
        <v>916</v>
      </c>
      <c r="Y12" s="22" t="s">
        <v>917</v>
      </c>
      <c r="Z12" s="22" t="s">
        <v>918</v>
      </c>
      <c r="AA12" s="22" t="s">
        <v>919</v>
      </c>
      <c r="AB12" s="22" t="s">
        <v>920</v>
      </c>
      <c r="AC12" s="22" t="s">
        <v>921</v>
      </c>
      <c r="AD12" s="194" t="s">
        <v>922</v>
      </c>
      <c r="AE12" s="194" t="s">
        <v>923</v>
      </c>
    </row>
    <row r="13" spans="1:31" ht="63.75" customHeight="1" x14ac:dyDescent="0.3">
      <c r="A13" s="190">
        <v>12</v>
      </c>
      <c r="B13" s="190">
        <f>COUNTIF(C12:C113,C13)</f>
        <v>1</v>
      </c>
      <c r="C13" s="22" t="s">
        <v>637</v>
      </c>
      <c r="D13" s="22" t="s">
        <v>636</v>
      </c>
      <c r="E13" s="22">
        <v>2023</v>
      </c>
      <c r="G13" s="22" t="s">
        <v>827</v>
      </c>
      <c r="H13" s="22" t="s">
        <v>829</v>
      </c>
      <c r="I13" s="22" t="s">
        <v>828</v>
      </c>
      <c r="J13" s="22" t="s">
        <v>830</v>
      </c>
      <c r="K13" s="22" t="s">
        <v>831</v>
      </c>
      <c r="L13" s="22" t="s">
        <v>832</v>
      </c>
      <c r="M13" s="197" t="s">
        <v>833</v>
      </c>
      <c r="N13" s="22" t="s">
        <v>834</v>
      </c>
      <c r="O13" s="22" t="s">
        <v>835</v>
      </c>
      <c r="P13" s="22" t="s">
        <v>836</v>
      </c>
      <c r="Q13" s="22" t="s">
        <v>837</v>
      </c>
      <c r="R13" s="22" t="s">
        <v>838</v>
      </c>
      <c r="S13" s="22" t="s">
        <v>839</v>
      </c>
      <c r="T13" s="22" t="s">
        <v>840</v>
      </c>
      <c r="U13" s="22" t="s">
        <v>841</v>
      </c>
      <c r="V13" s="22" t="s">
        <v>842</v>
      </c>
      <c r="W13" s="22" t="s">
        <v>843</v>
      </c>
      <c r="X13" s="22" t="s">
        <v>844</v>
      </c>
      <c r="Y13" s="22" t="s">
        <v>845</v>
      </c>
      <c r="Z13" s="22" t="s">
        <v>846</v>
      </c>
      <c r="AA13" s="22" t="s">
        <v>847</v>
      </c>
      <c r="AB13" s="22">
        <v>0.88</v>
      </c>
      <c r="AC13" s="22">
        <v>0.92</v>
      </c>
      <c r="AD13" s="194" t="s">
        <v>848</v>
      </c>
      <c r="AE13" s="194" t="s">
        <v>849</v>
      </c>
    </row>
    <row r="14" spans="1:31" ht="63.75" customHeight="1" x14ac:dyDescent="0.25">
      <c r="A14" s="190">
        <v>13</v>
      </c>
      <c r="B14" s="190">
        <f>COUNTIF(C13:C114,C14)</f>
        <v>1</v>
      </c>
      <c r="C14" s="22" t="s">
        <v>638</v>
      </c>
      <c r="D14" s="22" t="s">
        <v>636</v>
      </c>
      <c r="E14" s="22">
        <v>2024</v>
      </c>
      <c r="G14" s="22" t="s">
        <v>850</v>
      </c>
      <c r="H14" s="22" t="s">
        <v>851</v>
      </c>
      <c r="I14" s="22" t="s">
        <v>852</v>
      </c>
      <c r="J14" s="22" t="s">
        <v>853</v>
      </c>
      <c r="K14" s="22" t="s">
        <v>854</v>
      </c>
      <c r="L14" s="22" t="s">
        <v>855</v>
      </c>
      <c r="M14" s="22" t="s">
        <v>856</v>
      </c>
      <c r="N14" s="22" t="s">
        <v>857</v>
      </c>
      <c r="O14" s="22" t="s">
        <v>858</v>
      </c>
      <c r="P14" s="22" t="s">
        <v>859</v>
      </c>
      <c r="Q14" s="22" t="s">
        <v>860</v>
      </c>
      <c r="R14" s="22" t="s">
        <v>861</v>
      </c>
      <c r="S14" s="22" t="s">
        <v>862</v>
      </c>
      <c r="T14" s="22" t="s">
        <v>863</v>
      </c>
      <c r="U14" s="22" t="s">
        <v>864</v>
      </c>
      <c r="V14" s="22" t="s">
        <v>865</v>
      </c>
      <c r="W14" s="22" t="s">
        <v>866</v>
      </c>
      <c r="X14" s="22" t="s">
        <v>867</v>
      </c>
      <c r="Y14" s="22" t="s">
        <v>868</v>
      </c>
      <c r="Z14" s="22" t="s">
        <v>869</v>
      </c>
      <c r="AA14" s="22" t="s">
        <v>870</v>
      </c>
      <c r="AB14" s="22" t="s">
        <v>871</v>
      </c>
      <c r="AC14" s="22" t="s">
        <v>872</v>
      </c>
      <c r="AD14" s="194" t="s">
        <v>873</v>
      </c>
      <c r="AE14" s="194" t="s">
        <v>874</v>
      </c>
    </row>
    <row r="15" spans="1:31" s="196" customFormat="1" ht="63.75" customHeight="1" x14ac:dyDescent="0.25">
      <c r="A15" s="193">
        <v>14</v>
      </c>
      <c r="B15" s="193">
        <f>COUNTIF(C14:C115,C15)</f>
        <v>1</v>
      </c>
      <c r="C15" s="130" t="s">
        <v>639</v>
      </c>
      <c r="D15" s="130" t="s">
        <v>640</v>
      </c>
      <c r="E15" s="130">
        <v>2016</v>
      </c>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row>
    <row r="16" spans="1:31" ht="63.75" customHeight="1" x14ac:dyDescent="0.25">
      <c r="A16" s="190">
        <v>15</v>
      </c>
      <c r="B16" s="190">
        <f>COUNTIF(C15:C116,C16)</f>
        <v>1</v>
      </c>
      <c r="C16" s="22" t="s">
        <v>641</v>
      </c>
      <c r="D16" s="22" t="s">
        <v>642</v>
      </c>
      <c r="E16" s="22">
        <v>2022</v>
      </c>
      <c r="G16" s="22" t="s">
        <v>875</v>
      </c>
      <c r="H16" s="22" t="s">
        <v>876</v>
      </c>
      <c r="I16" s="22" t="s">
        <v>877</v>
      </c>
      <c r="J16" s="22" t="s">
        <v>878</v>
      </c>
      <c r="K16" s="22" t="s">
        <v>879</v>
      </c>
      <c r="L16" s="22" t="s">
        <v>880</v>
      </c>
      <c r="M16" s="22" t="s">
        <v>881</v>
      </c>
      <c r="N16" s="22" t="s">
        <v>882</v>
      </c>
      <c r="O16" s="22" t="s">
        <v>883</v>
      </c>
      <c r="P16" s="22" t="s">
        <v>884</v>
      </c>
      <c r="Q16" s="22" t="s">
        <v>885</v>
      </c>
      <c r="R16" s="22" t="s">
        <v>886</v>
      </c>
      <c r="S16" s="22" t="s">
        <v>887</v>
      </c>
      <c r="T16" s="22" t="s">
        <v>888</v>
      </c>
      <c r="U16" s="22" t="s">
        <v>889</v>
      </c>
      <c r="V16" s="22" t="s">
        <v>890</v>
      </c>
      <c r="W16" s="22" t="s">
        <v>891</v>
      </c>
      <c r="X16" s="22" t="s">
        <v>892</v>
      </c>
      <c r="Y16" s="22" t="s">
        <v>893</v>
      </c>
      <c r="Z16" s="22" t="s">
        <v>894</v>
      </c>
      <c r="AA16" s="22" t="s">
        <v>897</v>
      </c>
      <c r="AB16" s="22" t="s">
        <v>895</v>
      </c>
      <c r="AC16" s="22" t="s">
        <v>896</v>
      </c>
      <c r="AD16" s="194" t="s">
        <v>898</v>
      </c>
      <c r="AE16" s="194" t="s">
        <v>899</v>
      </c>
    </row>
    <row r="17" spans="1:31" ht="63.75" customHeight="1" x14ac:dyDescent="0.25">
      <c r="A17" s="190">
        <v>16</v>
      </c>
      <c r="B17" s="190">
        <f>COUNTIF(C16:C117,C17)</f>
        <v>1</v>
      </c>
      <c r="C17" s="22" t="s">
        <v>643</v>
      </c>
      <c r="D17" s="22" t="s">
        <v>644</v>
      </c>
      <c r="E17" s="22">
        <v>2015</v>
      </c>
      <c r="G17" s="22" t="s">
        <v>1170</v>
      </c>
      <c r="H17" s="22" t="s">
        <v>1171</v>
      </c>
      <c r="I17" s="22" t="s">
        <v>1172</v>
      </c>
      <c r="J17" s="22" t="s">
        <v>1173</v>
      </c>
      <c r="K17" s="22" t="s">
        <v>1174</v>
      </c>
      <c r="L17" s="22" t="s">
        <v>931</v>
      </c>
      <c r="M17" s="22" t="s">
        <v>812</v>
      </c>
      <c r="N17" s="22" t="s">
        <v>1175</v>
      </c>
      <c r="O17" s="22" t="s">
        <v>1176</v>
      </c>
      <c r="P17" s="22" t="s">
        <v>1177</v>
      </c>
      <c r="Q17" s="22" t="s">
        <v>1178</v>
      </c>
      <c r="R17" s="22" t="s">
        <v>1179</v>
      </c>
      <c r="S17" s="22" t="s">
        <v>1180</v>
      </c>
      <c r="T17" s="22" t="s">
        <v>1181</v>
      </c>
      <c r="U17" s="22" t="s">
        <v>1182</v>
      </c>
      <c r="V17" s="22" t="s">
        <v>1183</v>
      </c>
      <c r="W17" s="22" t="s">
        <v>1184</v>
      </c>
      <c r="X17" s="22" t="s">
        <v>1185</v>
      </c>
      <c r="Y17" s="22" t="s">
        <v>1186</v>
      </c>
      <c r="Z17" s="22" t="s">
        <v>931</v>
      </c>
      <c r="AA17" s="22" t="s">
        <v>1187</v>
      </c>
      <c r="AB17" s="22" t="s">
        <v>931</v>
      </c>
      <c r="AC17" s="22" t="s">
        <v>931</v>
      </c>
      <c r="AD17" s="194" t="s">
        <v>1188</v>
      </c>
      <c r="AE17" s="194" t="s">
        <v>1189</v>
      </c>
    </row>
    <row r="18" spans="1:31" ht="63.75" customHeight="1" x14ac:dyDescent="0.25">
      <c r="A18" s="190">
        <v>17</v>
      </c>
      <c r="B18" s="190">
        <f>COUNTIF(C17:C118,C18)</f>
        <v>1</v>
      </c>
      <c r="C18" s="22" t="s">
        <v>645</v>
      </c>
      <c r="D18" s="22" t="s">
        <v>646</v>
      </c>
      <c r="E18" s="22">
        <v>2023</v>
      </c>
      <c r="G18" s="22" t="s">
        <v>1149</v>
      </c>
      <c r="H18" s="22" t="s">
        <v>1150</v>
      </c>
      <c r="I18" s="22" t="s">
        <v>1151</v>
      </c>
      <c r="J18" s="22" t="s">
        <v>1152</v>
      </c>
      <c r="K18" s="22" t="s">
        <v>1153</v>
      </c>
      <c r="L18" s="22" t="s">
        <v>1154</v>
      </c>
      <c r="M18" s="22" t="s">
        <v>1155</v>
      </c>
      <c r="N18" s="22" t="s">
        <v>1156</v>
      </c>
      <c r="O18" s="22" t="s">
        <v>1157</v>
      </c>
      <c r="P18" s="22" t="s">
        <v>1158</v>
      </c>
      <c r="Q18" s="22" t="s">
        <v>1159</v>
      </c>
      <c r="R18" s="22" t="s">
        <v>1160</v>
      </c>
      <c r="S18" s="22" t="s">
        <v>1161</v>
      </c>
      <c r="T18" s="22" t="s">
        <v>1141</v>
      </c>
      <c r="U18" s="22" t="s">
        <v>1162</v>
      </c>
      <c r="V18" s="22" t="s">
        <v>1163</v>
      </c>
      <c r="W18" s="22" t="s">
        <v>1164</v>
      </c>
      <c r="X18" s="22" t="s">
        <v>1165</v>
      </c>
      <c r="Y18" s="22" t="s">
        <v>1166</v>
      </c>
      <c r="AA18" s="22" t="s">
        <v>1167</v>
      </c>
      <c r="AD18" s="194" t="s">
        <v>1168</v>
      </c>
      <c r="AE18" s="194" t="s">
        <v>1169</v>
      </c>
    </row>
    <row r="19" spans="1:31" s="196" customFormat="1" ht="63.75" customHeight="1" x14ac:dyDescent="0.25">
      <c r="A19" s="193">
        <v>18</v>
      </c>
      <c r="B19" s="193">
        <f>COUNTIF(C18:C119,C19)</f>
        <v>1</v>
      </c>
      <c r="C19" s="130" t="s">
        <v>647</v>
      </c>
      <c r="D19" s="130" t="s">
        <v>648</v>
      </c>
      <c r="E19" s="130">
        <v>2018</v>
      </c>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row>
    <row r="20" spans="1:31" ht="63.75" customHeight="1" x14ac:dyDescent="0.25">
      <c r="A20" s="190">
        <v>19</v>
      </c>
      <c r="B20" s="190">
        <f>COUNTIF(C19:C120,C20)</f>
        <v>1</v>
      </c>
      <c r="C20" s="22" t="s">
        <v>649</v>
      </c>
      <c r="D20" s="22" t="s">
        <v>650</v>
      </c>
      <c r="E20" s="22">
        <v>2020</v>
      </c>
      <c r="G20" s="22" t="s">
        <v>1190</v>
      </c>
      <c r="H20" s="22" t="s">
        <v>1191</v>
      </c>
      <c r="I20" s="22" t="s">
        <v>1192</v>
      </c>
      <c r="J20" s="22" t="s">
        <v>125</v>
      </c>
      <c r="K20" s="22" t="s">
        <v>1193</v>
      </c>
      <c r="L20" s="22" t="s">
        <v>1194</v>
      </c>
      <c r="M20" s="22" t="s">
        <v>1195</v>
      </c>
      <c r="N20" s="22" t="s">
        <v>1196</v>
      </c>
      <c r="O20" s="22" t="s">
        <v>1197</v>
      </c>
      <c r="P20" s="22" t="s">
        <v>1198</v>
      </c>
      <c r="Q20" s="22" t="s">
        <v>1199</v>
      </c>
      <c r="R20" s="22" t="s">
        <v>1200</v>
      </c>
      <c r="S20" s="22" t="s">
        <v>1201</v>
      </c>
      <c r="T20" s="22" t="s">
        <v>1202</v>
      </c>
      <c r="U20" s="22" t="s">
        <v>1203</v>
      </c>
      <c r="V20" s="22" t="s">
        <v>1204</v>
      </c>
      <c r="W20" s="22" t="s">
        <v>1205</v>
      </c>
      <c r="X20" s="22" t="s">
        <v>1206</v>
      </c>
      <c r="Y20" s="22" t="s">
        <v>1207</v>
      </c>
      <c r="Z20" s="22" t="s">
        <v>931</v>
      </c>
      <c r="AA20" s="22" t="s">
        <v>1208</v>
      </c>
      <c r="AB20" s="22" t="s">
        <v>931</v>
      </c>
      <c r="AC20" s="22" t="s">
        <v>1209</v>
      </c>
      <c r="AD20" s="194" t="s">
        <v>1210</v>
      </c>
      <c r="AE20" s="194" t="s">
        <v>1211</v>
      </c>
    </row>
    <row r="21" spans="1:31" ht="63.75" customHeight="1" x14ac:dyDescent="0.25">
      <c r="A21" s="190">
        <v>20</v>
      </c>
      <c r="B21" s="190">
        <f>COUNTIF(C20:C121,C21)</f>
        <v>1</v>
      </c>
      <c r="C21" s="22" t="s">
        <v>651</v>
      </c>
      <c r="D21" s="22" t="s">
        <v>652</v>
      </c>
      <c r="E21" s="22">
        <v>2023</v>
      </c>
      <c r="G21" s="22" t="s">
        <v>2085</v>
      </c>
      <c r="H21" s="22" t="s">
        <v>2086</v>
      </c>
      <c r="I21" s="22" t="s">
        <v>2087</v>
      </c>
      <c r="J21" s="22" t="s">
        <v>2088</v>
      </c>
      <c r="K21" s="22" t="s">
        <v>2089</v>
      </c>
      <c r="L21" s="22" t="s">
        <v>2090</v>
      </c>
      <c r="M21" s="22" t="s">
        <v>2091</v>
      </c>
      <c r="N21" s="22" t="s">
        <v>2092</v>
      </c>
      <c r="O21" s="22" t="s">
        <v>2093</v>
      </c>
      <c r="P21" s="22" t="s">
        <v>2094</v>
      </c>
      <c r="Q21" s="22" t="s">
        <v>2095</v>
      </c>
      <c r="R21" s="22" t="s">
        <v>1105</v>
      </c>
      <c r="S21" s="22" t="s">
        <v>2096</v>
      </c>
      <c r="T21" s="22" t="s">
        <v>2097</v>
      </c>
      <c r="U21" s="22" t="s">
        <v>2098</v>
      </c>
      <c r="V21" s="22" t="s">
        <v>2099</v>
      </c>
      <c r="W21" s="22" t="s">
        <v>1105</v>
      </c>
      <c r="X21" s="22" t="s">
        <v>2100</v>
      </c>
      <c r="Y21" s="22" t="s">
        <v>2101</v>
      </c>
      <c r="Z21" s="22" t="s">
        <v>2102</v>
      </c>
      <c r="AA21" s="22" t="s">
        <v>2103</v>
      </c>
      <c r="AB21" s="22" t="s">
        <v>2104</v>
      </c>
      <c r="AC21" s="22" t="s">
        <v>2105</v>
      </c>
      <c r="AD21" s="194" t="s">
        <v>2106</v>
      </c>
      <c r="AE21" s="194" t="s">
        <v>2107</v>
      </c>
    </row>
    <row r="22" spans="1:31" s="196" customFormat="1" ht="63.75" customHeight="1" x14ac:dyDescent="0.25">
      <c r="A22" s="193">
        <v>21</v>
      </c>
      <c r="B22" s="193">
        <f>COUNTIF(C21:C122,C22)</f>
        <v>1</v>
      </c>
      <c r="C22" s="130" t="s">
        <v>653</v>
      </c>
      <c r="D22" s="130" t="s">
        <v>654</v>
      </c>
      <c r="E22" s="130">
        <v>2023</v>
      </c>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row>
    <row r="23" spans="1:31" ht="63.75" customHeight="1" x14ac:dyDescent="0.25">
      <c r="A23" s="190">
        <v>22</v>
      </c>
      <c r="B23" s="190">
        <f>COUNTIF(C22:C123,C23)</f>
        <v>1</v>
      </c>
      <c r="C23" s="22" t="s">
        <v>655</v>
      </c>
      <c r="D23" s="22" t="s">
        <v>656</v>
      </c>
      <c r="E23" s="22">
        <v>2022</v>
      </c>
      <c r="G23" s="22" t="s">
        <v>1212</v>
      </c>
      <c r="H23" s="22" t="s">
        <v>1213</v>
      </c>
      <c r="I23" s="22" t="s">
        <v>1214</v>
      </c>
      <c r="J23" s="22" t="s">
        <v>1215</v>
      </c>
      <c r="K23" s="22" t="s">
        <v>1216</v>
      </c>
      <c r="L23" s="22" t="s">
        <v>1217</v>
      </c>
      <c r="M23" s="22" t="s">
        <v>1218</v>
      </c>
      <c r="N23" s="22" t="s">
        <v>1219</v>
      </c>
      <c r="O23" s="22" t="s">
        <v>1220</v>
      </c>
      <c r="P23" s="22" t="s">
        <v>1221</v>
      </c>
      <c r="Q23" s="22" t="s">
        <v>1222</v>
      </c>
      <c r="R23" s="22" t="s">
        <v>1223</v>
      </c>
      <c r="S23" s="22" t="s">
        <v>1224</v>
      </c>
      <c r="T23" s="22" t="s">
        <v>1225</v>
      </c>
      <c r="U23" s="198" t="s">
        <v>1226</v>
      </c>
      <c r="V23" s="22" t="s">
        <v>1227</v>
      </c>
      <c r="W23" s="22" t="s">
        <v>1228</v>
      </c>
      <c r="X23" s="22" t="s">
        <v>1229</v>
      </c>
      <c r="Y23" s="22" t="s">
        <v>1230</v>
      </c>
      <c r="Z23" s="22" t="s">
        <v>931</v>
      </c>
      <c r="AA23" s="22" t="s">
        <v>1231</v>
      </c>
      <c r="AB23" s="22" t="s">
        <v>931</v>
      </c>
      <c r="AC23" s="22" t="s">
        <v>931</v>
      </c>
      <c r="AD23" s="194" t="s">
        <v>1232</v>
      </c>
      <c r="AE23" s="194" t="s">
        <v>1233</v>
      </c>
    </row>
    <row r="24" spans="1:31" ht="63.75" customHeight="1" x14ac:dyDescent="0.25">
      <c r="A24" s="190">
        <v>23</v>
      </c>
      <c r="B24" s="190">
        <f>COUNTIF(C23:C124,C24)</f>
        <v>1</v>
      </c>
      <c r="C24" s="22" t="s">
        <v>657</v>
      </c>
      <c r="D24" s="22" t="s">
        <v>658</v>
      </c>
      <c r="E24" s="22">
        <v>2022</v>
      </c>
      <c r="G24" s="22" t="s">
        <v>2434</v>
      </c>
      <c r="H24" s="22" t="s">
        <v>2435</v>
      </c>
      <c r="I24" s="22" t="s">
        <v>931</v>
      </c>
      <c r="J24" s="22" t="s">
        <v>2436</v>
      </c>
      <c r="K24" s="22" t="s">
        <v>2437</v>
      </c>
      <c r="L24" s="22" t="s">
        <v>2438</v>
      </c>
      <c r="M24" s="22" t="s">
        <v>2439</v>
      </c>
      <c r="N24" s="22" t="s">
        <v>2440</v>
      </c>
      <c r="O24" s="22" t="s">
        <v>2441</v>
      </c>
      <c r="P24" s="22" t="s">
        <v>2442</v>
      </c>
      <c r="Q24" s="22" t="s">
        <v>931</v>
      </c>
      <c r="R24" s="22" t="s">
        <v>931</v>
      </c>
      <c r="S24" s="22" t="s">
        <v>2443</v>
      </c>
      <c r="T24" s="22" t="s">
        <v>2444</v>
      </c>
      <c r="U24" s="22" t="s">
        <v>2445</v>
      </c>
      <c r="V24" s="22" t="s">
        <v>2446</v>
      </c>
      <c r="W24" s="22" t="s">
        <v>2447</v>
      </c>
      <c r="X24" s="22" t="s">
        <v>2448</v>
      </c>
      <c r="Y24" s="22" t="s">
        <v>931</v>
      </c>
      <c r="Z24" s="22" t="s">
        <v>2449</v>
      </c>
      <c r="AA24" s="22" t="s">
        <v>2450</v>
      </c>
      <c r="AB24" s="22" t="s">
        <v>931</v>
      </c>
      <c r="AC24" s="22" t="s">
        <v>931</v>
      </c>
      <c r="AD24" s="194" t="s">
        <v>2451</v>
      </c>
      <c r="AE24" s="194" t="s">
        <v>2452</v>
      </c>
    </row>
    <row r="25" spans="1:31" s="196" customFormat="1" ht="63.75" customHeight="1" x14ac:dyDescent="0.25">
      <c r="A25" s="193">
        <v>24</v>
      </c>
      <c r="B25" s="193">
        <f>COUNTIF(C24:C125,C25)</f>
        <v>1</v>
      </c>
      <c r="C25" s="130" t="s">
        <v>659</v>
      </c>
      <c r="D25" s="130" t="s">
        <v>660</v>
      </c>
      <c r="E25" s="130">
        <v>2023</v>
      </c>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row>
    <row r="26" spans="1:31" s="196" customFormat="1" ht="63.75" customHeight="1" x14ac:dyDescent="0.25">
      <c r="A26" s="193">
        <v>25</v>
      </c>
      <c r="B26" s="193">
        <f>COUNTIF(C25:C126,C26)</f>
        <v>1</v>
      </c>
      <c r="C26" s="130" t="s">
        <v>661</v>
      </c>
      <c r="D26" s="130" t="s">
        <v>662</v>
      </c>
      <c r="E26" s="130">
        <v>2021</v>
      </c>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row>
    <row r="27" spans="1:31" ht="63.75" customHeight="1" x14ac:dyDescent="0.25">
      <c r="A27" s="190">
        <v>26</v>
      </c>
      <c r="B27" s="190">
        <f>COUNTIF(C26:C127,C27)</f>
        <v>1</v>
      </c>
      <c r="C27" s="22" t="s">
        <v>663</v>
      </c>
      <c r="D27" s="22" t="s">
        <v>664</v>
      </c>
      <c r="E27" s="22">
        <v>2023</v>
      </c>
      <c r="G27" s="22" t="s">
        <v>1234</v>
      </c>
      <c r="H27" s="22" t="s">
        <v>1235</v>
      </c>
      <c r="I27" s="22" t="s">
        <v>1236</v>
      </c>
      <c r="J27" s="22" t="s">
        <v>1237</v>
      </c>
      <c r="K27" s="22" t="s">
        <v>1238</v>
      </c>
      <c r="L27" s="22" t="s">
        <v>1239</v>
      </c>
      <c r="M27" s="22" t="s">
        <v>1240</v>
      </c>
      <c r="N27" s="22" t="s">
        <v>1241</v>
      </c>
      <c r="O27" s="22" t="s">
        <v>1242</v>
      </c>
      <c r="P27" s="22" t="s">
        <v>1243</v>
      </c>
      <c r="Q27" s="22" t="s">
        <v>1244</v>
      </c>
      <c r="R27" s="22" t="s">
        <v>1245</v>
      </c>
      <c r="S27" s="22" t="s">
        <v>1246</v>
      </c>
      <c r="T27" s="22" t="s">
        <v>1247</v>
      </c>
      <c r="U27" s="22" t="s">
        <v>1248</v>
      </c>
      <c r="V27" s="22" t="s">
        <v>1249</v>
      </c>
      <c r="W27" s="22" t="s">
        <v>1250</v>
      </c>
      <c r="X27" s="22" t="s">
        <v>1251</v>
      </c>
      <c r="Y27" s="22" t="s">
        <v>1252</v>
      </c>
      <c r="Z27" s="22" t="s">
        <v>931</v>
      </c>
      <c r="AA27" s="22" t="s">
        <v>1253</v>
      </c>
      <c r="AB27" s="22" t="s">
        <v>931</v>
      </c>
      <c r="AC27" s="22" t="s">
        <v>931</v>
      </c>
      <c r="AD27" s="194" t="s">
        <v>1254</v>
      </c>
      <c r="AE27" s="194" t="s">
        <v>1255</v>
      </c>
    </row>
    <row r="28" spans="1:31" s="202" customFormat="1" ht="63.75" customHeight="1" x14ac:dyDescent="0.25">
      <c r="A28" s="200">
        <v>27</v>
      </c>
      <c r="B28" s="200">
        <f>COUNTIF(C27:C128,C28)</f>
        <v>1</v>
      </c>
      <c r="C28" s="201" t="s">
        <v>665</v>
      </c>
      <c r="D28" s="201" t="s">
        <v>666</v>
      </c>
      <c r="E28" s="201">
        <v>2023</v>
      </c>
      <c r="F28" s="201"/>
      <c r="G28" s="201" t="s">
        <v>2355</v>
      </c>
      <c r="H28" s="201" t="s">
        <v>2356</v>
      </c>
      <c r="I28" s="201" t="s">
        <v>2357</v>
      </c>
      <c r="J28" s="201" t="s">
        <v>2358</v>
      </c>
      <c r="K28" s="201" t="s">
        <v>2359</v>
      </c>
      <c r="L28" s="201" t="s">
        <v>2360</v>
      </c>
      <c r="M28" s="201" t="s">
        <v>2361</v>
      </c>
      <c r="N28" s="201" t="s">
        <v>2362</v>
      </c>
      <c r="O28" s="201" t="s">
        <v>2363</v>
      </c>
      <c r="P28" s="201" t="s">
        <v>2364</v>
      </c>
      <c r="Q28" s="201" t="s">
        <v>2365</v>
      </c>
      <c r="R28" s="201" t="s">
        <v>1105</v>
      </c>
      <c r="S28" s="201" t="s">
        <v>2366</v>
      </c>
      <c r="T28" s="201" t="s">
        <v>2367</v>
      </c>
      <c r="U28" s="201" t="s">
        <v>2368</v>
      </c>
      <c r="V28" s="201" t="s">
        <v>2369</v>
      </c>
      <c r="W28" s="201" t="s">
        <v>2370</v>
      </c>
      <c r="X28" s="201" t="s">
        <v>2371</v>
      </c>
      <c r="Y28" s="201" t="s">
        <v>2372</v>
      </c>
      <c r="Z28" s="201" t="s">
        <v>2373</v>
      </c>
      <c r="AA28" s="201" t="s">
        <v>2374</v>
      </c>
      <c r="AB28" s="201" t="s">
        <v>1105</v>
      </c>
      <c r="AC28" s="201" t="s">
        <v>1105</v>
      </c>
      <c r="AD28" s="202" t="s">
        <v>2375</v>
      </c>
      <c r="AE28" s="202" t="s">
        <v>2376</v>
      </c>
    </row>
    <row r="29" spans="1:31" ht="63.75" customHeight="1" x14ac:dyDescent="0.25">
      <c r="A29" s="190">
        <v>28</v>
      </c>
      <c r="B29" s="190">
        <f>COUNTIF(C28:C129,C29)</f>
        <v>1</v>
      </c>
      <c r="C29" s="22" t="s">
        <v>667</v>
      </c>
      <c r="D29" s="22" t="s">
        <v>668</v>
      </c>
      <c r="E29" s="22">
        <v>2019</v>
      </c>
      <c r="G29" s="22" t="s">
        <v>1277</v>
      </c>
      <c r="H29" s="22" t="s">
        <v>1278</v>
      </c>
      <c r="I29" s="22" t="s">
        <v>1279</v>
      </c>
      <c r="J29" s="22" t="s">
        <v>1280</v>
      </c>
      <c r="K29" s="22">
        <v>48</v>
      </c>
      <c r="L29" s="22" t="s">
        <v>1281</v>
      </c>
      <c r="M29" s="22" t="s">
        <v>507</v>
      </c>
      <c r="N29" s="22" t="s">
        <v>1282</v>
      </c>
      <c r="O29" s="22" t="s">
        <v>1283</v>
      </c>
      <c r="P29" s="22" t="s">
        <v>1284</v>
      </c>
      <c r="Q29" s="22" t="s">
        <v>931</v>
      </c>
      <c r="R29" s="22" t="s">
        <v>1285</v>
      </c>
      <c r="S29" s="22">
        <v>6</v>
      </c>
      <c r="T29" s="22" t="s">
        <v>1286</v>
      </c>
      <c r="U29" s="22" t="s">
        <v>1287</v>
      </c>
      <c r="V29" s="22" t="s">
        <v>1288</v>
      </c>
      <c r="W29" s="22" t="s">
        <v>931</v>
      </c>
      <c r="X29" s="22" t="s">
        <v>1289</v>
      </c>
      <c r="Y29" s="22" t="s">
        <v>1290</v>
      </c>
      <c r="Z29" s="22" t="s">
        <v>931</v>
      </c>
      <c r="AA29" s="22" t="s">
        <v>1291</v>
      </c>
      <c r="AB29" s="22" t="s">
        <v>931</v>
      </c>
      <c r="AC29" s="22" t="s">
        <v>931</v>
      </c>
      <c r="AD29" s="194" t="s">
        <v>1292</v>
      </c>
      <c r="AE29" s="194" t="s">
        <v>1293</v>
      </c>
    </row>
    <row r="30" spans="1:31" ht="63.75" customHeight="1" x14ac:dyDescent="0.25">
      <c r="A30" s="190">
        <v>30</v>
      </c>
      <c r="B30" s="190">
        <f>COUNTIF(C30:C131,C30)</f>
        <v>1</v>
      </c>
      <c r="C30" s="22" t="s">
        <v>670</v>
      </c>
      <c r="D30" s="22" t="s">
        <v>669</v>
      </c>
      <c r="E30" s="22">
        <v>2021</v>
      </c>
      <c r="G30" s="22" t="s">
        <v>1256</v>
      </c>
      <c r="H30" s="22" t="s">
        <v>1257</v>
      </c>
      <c r="I30" s="22" t="s">
        <v>1258</v>
      </c>
      <c r="J30" s="22" t="s">
        <v>1259</v>
      </c>
      <c r="K30" s="22" t="s">
        <v>1260</v>
      </c>
      <c r="L30" s="22" t="s">
        <v>1261</v>
      </c>
      <c r="M30" s="22" t="s">
        <v>1262</v>
      </c>
      <c r="N30" s="22" t="s">
        <v>1263</v>
      </c>
      <c r="O30" s="198" t="s">
        <v>1264</v>
      </c>
      <c r="P30" s="22" t="s">
        <v>1265</v>
      </c>
      <c r="Q30" s="22" t="s">
        <v>931</v>
      </c>
      <c r="R30" s="22" t="s">
        <v>931</v>
      </c>
      <c r="S30" s="22" t="s">
        <v>1266</v>
      </c>
      <c r="T30" s="22" t="s">
        <v>1267</v>
      </c>
      <c r="U30" s="22" t="s">
        <v>1268</v>
      </c>
      <c r="V30" s="22" t="s">
        <v>1269</v>
      </c>
      <c r="W30" s="22" t="s">
        <v>931</v>
      </c>
      <c r="X30" s="22" t="s">
        <v>1270</v>
      </c>
      <c r="Y30" s="22" t="s">
        <v>1271</v>
      </c>
      <c r="Z30" s="22" t="s">
        <v>1272</v>
      </c>
      <c r="AA30" s="22" t="s">
        <v>1273</v>
      </c>
      <c r="AB30" s="22" t="s">
        <v>1274</v>
      </c>
      <c r="AC30" s="22" t="s">
        <v>931</v>
      </c>
      <c r="AD30" s="194" t="s">
        <v>1275</v>
      </c>
      <c r="AE30" s="194" t="s">
        <v>1276</v>
      </c>
    </row>
    <row r="31" spans="1:31" s="196" customFormat="1" ht="63.75" customHeight="1" x14ac:dyDescent="0.25">
      <c r="A31" s="193">
        <v>31</v>
      </c>
      <c r="B31" s="193">
        <f>COUNTIF(C30:C132,C31)</f>
        <v>1</v>
      </c>
      <c r="C31" s="130" t="s">
        <v>671</v>
      </c>
      <c r="D31" s="130" t="s">
        <v>672</v>
      </c>
      <c r="E31" s="130">
        <v>2024</v>
      </c>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row>
    <row r="32" spans="1:31" ht="63.75" customHeight="1" x14ac:dyDescent="0.25">
      <c r="A32" s="190">
        <v>32</v>
      </c>
      <c r="B32" s="190">
        <f>COUNTIF(C31:C133,C32)</f>
        <v>1</v>
      </c>
      <c r="C32" s="22" t="s">
        <v>673</v>
      </c>
      <c r="D32" s="22" t="s">
        <v>674</v>
      </c>
      <c r="E32" s="22">
        <v>2017</v>
      </c>
      <c r="G32" s="22" t="s">
        <v>1294</v>
      </c>
      <c r="H32" s="22" t="s">
        <v>1295</v>
      </c>
      <c r="I32" s="22" t="s">
        <v>1296</v>
      </c>
      <c r="J32" s="22" t="s">
        <v>1297</v>
      </c>
      <c r="K32" s="22" t="s">
        <v>1298</v>
      </c>
      <c r="L32" s="22" t="s">
        <v>1299</v>
      </c>
      <c r="M32" s="22" t="s">
        <v>1300</v>
      </c>
      <c r="N32" s="22" t="s">
        <v>1301</v>
      </c>
      <c r="O32" s="22" t="s">
        <v>1302</v>
      </c>
      <c r="P32" s="22" t="s">
        <v>1303</v>
      </c>
      <c r="Q32" s="22" t="s">
        <v>931</v>
      </c>
      <c r="R32" s="22" t="s">
        <v>1304</v>
      </c>
      <c r="S32" s="22" t="s">
        <v>1305</v>
      </c>
      <c r="T32" s="22" t="s">
        <v>1306</v>
      </c>
      <c r="U32" s="22" t="s">
        <v>1307</v>
      </c>
      <c r="V32" s="22" t="s">
        <v>1308</v>
      </c>
      <c r="W32" s="22" t="s">
        <v>1309</v>
      </c>
      <c r="X32" s="22" t="s">
        <v>1310</v>
      </c>
      <c r="Y32" s="22" t="s">
        <v>1311</v>
      </c>
      <c r="Z32" s="22" t="s">
        <v>931</v>
      </c>
      <c r="AA32" s="22" t="s">
        <v>1312</v>
      </c>
      <c r="AB32" s="22" t="s">
        <v>931</v>
      </c>
      <c r="AC32" s="22" t="s">
        <v>1313</v>
      </c>
      <c r="AD32" s="194" t="s">
        <v>1314</v>
      </c>
      <c r="AE32" s="194" t="s">
        <v>1315</v>
      </c>
    </row>
    <row r="33" spans="1:31" ht="63.75" customHeight="1" x14ac:dyDescent="0.25">
      <c r="A33" s="190">
        <v>33</v>
      </c>
      <c r="B33" s="190">
        <f>COUNTIF(C32:C134,C33)</f>
        <v>1</v>
      </c>
      <c r="C33" s="22" t="s">
        <v>675</v>
      </c>
      <c r="D33" s="22" t="s">
        <v>676</v>
      </c>
      <c r="E33" s="22">
        <v>2023</v>
      </c>
      <c r="G33" s="22" t="s">
        <v>1482</v>
      </c>
      <c r="H33" s="22" t="s">
        <v>1483</v>
      </c>
      <c r="I33" s="22" t="s">
        <v>1484</v>
      </c>
      <c r="J33" s="22" t="s">
        <v>1485</v>
      </c>
      <c r="K33" s="22" t="s">
        <v>1486</v>
      </c>
      <c r="L33" s="22" t="s">
        <v>1487</v>
      </c>
      <c r="M33" s="22" t="s">
        <v>1488</v>
      </c>
      <c r="N33" s="22" t="s">
        <v>1489</v>
      </c>
      <c r="O33" s="22" t="s">
        <v>1490</v>
      </c>
      <c r="P33" s="22" t="s">
        <v>1491</v>
      </c>
      <c r="Q33" s="22" t="s">
        <v>1492</v>
      </c>
      <c r="R33" s="22" t="s">
        <v>1493</v>
      </c>
      <c r="S33" s="22">
        <v>4</v>
      </c>
      <c r="T33" s="22" t="s">
        <v>1494</v>
      </c>
      <c r="U33" s="22" t="s">
        <v>1495</v>
      </c>
      <c r="V33" s="22" t="s">
        <v>1496</v>
      </c>
      <c r="W33" s="22" t="s">
        <v>1497</v>
      </c>
      <c r="X33" s="22" t="s">
        <v>1498</v>
      </c>
      <c r="Y33" s="22" t="s">
        <v>1499</v>
      </c>
      <c r="Z33" s="22" t="s">
        <v>1500</v>
      </c>
      <c r="AA33" s="22" t="s">
        <v>1501</v>
      </c>
      <c r="AB33" s="22" t="s">
        <v>1502</v>
      </c>
      <c r="AC33" s="22" t="s">
        <v>1503</v>
      </c>
      <c r="AD33" s="194" t="s">
        <v>1504</v>
      </c>
      <c r="AE33" s="194" t="s">
        <v>1505</v>
      </c>
    </row>
    <row r="34" spans="1:31" ht="63.75" customHeight="1" x14ac:dyDescent="0.25">
      <c r="A34" s="190">
        <v>34</v>
      </c>
      <c r="B34" s="190">
        <f>COUNTIF(C33:C135,C34)</f>
        <v>1</v>
      </c>
      <c r="C34" s="22" t="s">
        <v>677</v>
      </c>
      <c r="D34" s="22" t="s">
        <v>678</v>
      </c>
      <c r="E34" s="22">
        <v>2023</v>
      </c>
      <c r="G34" s="22" t="s">
        <v>1316</v>
      </c>
      <c r="H34" s="22" t="s">
        <v>1317</v>
      </c>
      <c r="I34" s="22" t="s">
        <v>1318</v>
      </c>
      <c r="J34" s="22" t="s">
        <v>1319</v>
      </c>
      <c r="K34" s="22" t="s">
        <v>1320</v>
      </c>
      <c r="L34" s="22" t="s">
        <v>1321</v>
      </c>
      <c r="M34" s="22" t="s">
        <v>1322</v>
      </c>
      <c r="N34" s="22" t="s">
        <v>1323</v>
      </c>
      <c r="O34" s="22" t="s">
        <v>1324</v>
      </c>
      <c r="P34" s="22" t="s">
        <v>1325</v>
      </c>
      <c r="Q34" s="22" t="s">
        <v>931</v>
      </c>
      <c r="R34" s="22" t="s">
        <v>1326</v>
      </c>
      <c r="S34" s="22">
        <v>4</v>
      </c>
      <c r="T34" s="22" t="s">
        <v>1327</v>
      </c>
      <c r="U34" s="22" t="s">
        <v>1328</v>
      </c>
      <c r="V34" s="22" t="s">
        <v>1329</v>
      </c>
      <c r="W34" s="22" t="s">
        <v>1330</v>
      </c>
      <c r="X34" s="22" t="s">
        <v>1331</v>
      </c>
      <c r="Y34" s="22" t="s">
        <v>1332</v>
      </c>
      <c r="Z34" s="22" t="s">
        <v>1333</v>
      </c>
      <c r="AA34" s="22" t="s">
        <v>1334</v>
      </c>
      <c r="AB34" s="22" t="s">
        <v>1335</v>
      </c>
      <c r="AC34" s="22" t="s">
        <v>1336</v>
      </c>
      <c r="AD34" s="194" t="s">
        <v>1337</v>
      </c>
      <c r="AE34" s="194" t="s">
        <v>1338</v>
      </c>
    </row>
    <row r="35" spans="1:31" ht="63.75" customHeight="1" x14ac:dyDescent="0.25">
      <c r="A35" s="190">
        <v>35</v>
      </c>
      <c r="B35" s="190">
        <f>COUNTIF(C34:C136,C35)</f>
        <v>1</v>
      </c>
      <c r="C35" s="22" t="s">
        <v>679</v>
      </c>
      <c r="D35" s="22" t="s">
        <v>680</v>
      </c>
      <c r="E35" s="22">
        <v>2022</v>
      </c>
      <c r="G35" s="22" t="s">
        <v>1458</v>
      </c>
      <c r="H35" s="22" t="s">
        <v>1459</v>
      </c>
      <c r="I35" s="22" t="s">
        <v>1460</v>
      </c>
      <c r="J35" s="22" t="s">
        <v>1461</v>
      </c>
      <c r="K35" s="22" t="s">
        <v>1462</v>
      </c>
      <c r="L35" s="22" t="s">
        <v>1463</v>
      </c>
      <c r="M35" s="22" t="s">
        <v>1464</v>
      </c>
      <c r="N35" s="22" t="s">
        <v>1465</v>
      </c>
      <c r="O35" s="22" t="s">
        <v>1466</v>
      </c>
      <c r="P35" s="22" t="s">
        <v>1467</v>
      </c>
      <c r="Q35" s="22" t="s">
        <v>1468</v>
      </c>
      <c r="R35" s="22" t="s">
        <v>1469</v>
      </c>
      <c r="S35" s="22">
        <v>4</v>
      </c>
      <c r="T35" s="22" t="s">
        <v>1470</v>
      </c>
      <c r="U35" s="22" t="s">
        <v>1471</v>
      </c>
      <c r="V35" s="22" t="s">
        <v>1472</v>
      </c>
      <c r="W35" s="22" t="s">
        <v>1473</v>
      </c>
      <c r="X35" s="22" t="s">
        <v>1474</v>
      </c>
      <c r="Y35" s="22" t="s">
        <v>1475</v>
      </c>
      <c r="Z35" s="22" t="s">
        <v>1476</v>
      </c>
      <c r="AA35" s="22" t="s">
        <v>1477</v>
      </c>
      <c r="AB35" s="22" t="s">
        <v>1478</v>
      </c>
      <c r="AC35" s="22" t="s">
        <v>1479</v>
      </c>
      <c r="AD35" s="194" t="s">
        <v>1480</v>
      </c>
      <c r="AE35" s="194" t="s">
        <v>1481</v>
      </c>
    </row>
    <row r="36" spans="1:31" ht="63.75" customHeight="1" x14ac:dyDescent="0.25">
      <c r="A36" s="190">
        <v>36</v>
      </c>
      <c r="B36" s="190">
        <f>COUNTIF(C35:C137,C36)</f>
        <v>1</v>
      </c>
      <c r="C36" s="22" t="s">
        <v>681</v>
      </c>
      <c r="D36" s="22" t="s">
        <v>682</v>
      </c>
      <c r="E36" s="22">
        <v>2022</v>
      </c>
      <c r="G36" s="22" t="s">
        <v>1439</v>
      </c>
      <c r="H36" s="22" t="s">
        <v>1256</v>
      </c>
      <c r="I36" s="22" t="s">
        <v>1105</v>
      </c>
      <c r="J36" s="22" t="s">
        <v>1440</v>
      </c>
      <c r="K36" s="22" t="s">
        <v>1441</v>
      </c>
      <c r="L36" s="22" t="s">
        <v>1442</v>
      </c>
      <c r="M36" s="22" t="s">
        <v>1443</v>
      </c>
      <c r="N36" s="22" t="s">
        <v>1444</v>
      </c>
      <c r="O36" s="22" t="s">
        <v>1445</v>
      </c>
      <c r="P36" s="22" t="s">
        <v>1446</v>
      </c>
      <c r="Q36" s="22" t="s">
        <v>1447</v>
      </c>
      <c r="R36" s="22" t="s">
        <v>1448</v>
      </c>
      <c r="S36" s="22">
        <v>7</v>
      </c>
      <c r="T36" s="22" t="s">
        <v>1449</v>
      </c>
      <c r="U36" s="22" t="s">
        <v>1450</v>
      </c>
      <c r="V36" s="22" t="s">
        <v>1451</v>
      </c>
      <c r="W36" s="22" t="s">
        <v>931</v>
      </c>
      <c r="X36" s="22" t="s">
        <v>1452</v>
      </c>
      <c r="Y36" s="22" t="s">
        <v>1453</v>
      </c>
      <c r="Z36" s="22" t="s">
        <v>1454</v>
      </c>
      <c r="AA36" s="22" t="s">
        <v>1455</v>
      </c>
      <c r="AB36" s="22" t="s">
        <v>1105</v>
      </c>
      <c r="AC36" s="22" t="s">
        <v>1105</v>
      </c>
      <c r="AD36" s="194" t="s">
        <v>1456</v>
      </c>
      <c r="AE36" s="194" t="s">
        <v>1457</v>
      </c>
    </row>
    <row r="37" spans="1:31" ht="63.75" customHeight="1" x14ac:dyDescent="0.25">
      <c r="A37" s="190">
        <v>37</v>
      </c>
      <c r="B37" s="190">
        <f>COUNTIF(C36:C138,C37)</f>
        <v>1</v>
      </c>
      <c r="C37" s="22" t="s">
        <v>683</v>
      </c>
      <c r="D37" s="22" t="s">
        <v>684</v>
      </c>
      <c r="E37" s="22">
        <v>2024</v>
      </c>
      <c r="G37" s="22" t="s">
        <v>1417</v>
      </c>
      <c r="H37" s="22" t="s">
        <v>1418</v>
      </c>
      <c r="I37" s="22" t="s">
        <v>1419</v>
      </c>
      <c r="J37" s="22" t="s">
        <v>1420</v>
      </c>
      <c r="K37" s="22" t="s">
        <v>1421</v>
      </c>
      <c r="L37" s="22" t="s">
        <v>1105</v>
      </c>
      <c r="M37" s="22" t="s">
        <v>1422</v>
      </c>
      <c r="N37" s="22" t="s">
        <v>1423</v>
      </c>
      <c r="O37" s="22" t="s">
        <v>1424</v>
      </c>
      <c r="P37" s="22" t="s">
        <v>1425</v>
      </c>
      <c r="Q37" s="22" t="s">
        <v>1120</v>
      </c>
      <c r="R37" s="22" t="s">
        <v>1426</v>
      </c>
      <c r="S37" s="22" t="s">
        <v>1427</v>
      </c>
      <c r="T37" s="22" t="s">
        <v>1428</v>
      </c>
      <c r="U37" s="22" t="s">
        <v>1429</v>
      </c>
      <c r="V37" s="22" t="s">
        <v>1430</v>
      </c>
      <c r="W37" s="22" t="s">
        <v>1105</v>
      </c>
      <c r="X37" s="22" t="s">
        <v>1431</v>
      </c>
      <c r="Y37" s="22" t="s">
        <v>1432</v>
      </c>
      <c r="Z37" s="22" t="s">
        <v>1433</v>
      </c>
      <c r="AA37" s="22" t="s">
        <v>1434</v>
      </c>
      <c r="AB37" s="22" t="s">
        <v>1435</v>
      </c>
      <c r="AC37" s="22" t="s">
        <v>1436</v>
      </c>
      <c r="AD37" s="194" t="s">
        <v>1437</v>
      </c>
      <c r="AE37" s="194" t="s">
        <v>1438</v>
      </c>
    </row>
    <row r="38" spans="1:31" ht="63.75" customHeight="1" x14ac:dyDescent="0.25">
      <c r="A38" s="190">
        <v>39</v>
      </c>
      <c r="B38" s="190">
        <f>COUNTIF(C38:C140,C38)</f>
        <v>1</v>
      </c>
      <c r="C38" s="22" t="s">
        <v>685</v>
      </c>
      <c r="D38" s="22" t="s">
        <v>686</v>
      </c>
      <c r="E38" s="22">
        <v>2024</v>
      </c>
      <c r="G38" s="22" t="s">
        <v>1339</v>
      </c>
      <c r="H38" s="22" t="s">
        <v>1340</v>
      </c>
      <c r="I38" s="22" t="s">
        <v>1341</v>
      </c>
      <c r="J38" s="22" t="s">
        <v>1342</v>
      </c>
      <c r="K38" s="22" t="s">
        <v>1343</v>
      </c>
      <c r="L38" s="22" t="s">
        <v>1344</v>
      </c>
      <c r="M38" s="22" t="s">
        <v>1345</v>
      </c>
      <c r="N38" s="22" t="s">
        <v>1346</v>
      </c>
      <c r="O38" s="22" t="s">
        <v>1347</v>
      </c>
      <c r="P38" s="22" t="s">
        <v>1325</v>
      </c>
      <c r="Q38" s="22" t="s">
        <v>931</v>
      </c>
      <c r="R38" s="22" t="s">
        <v>1348</v>
      </c>
      <c r="S38" s="22">
        <v>4</v>
      </c>
      <c r="T38" s="22" t="s">
        <v>1349</v>
      </c>
      <c r="U38" s="22" t="s">
        <v>1350</v>
      </c>
      <c r="V38" s="22" t="s">
        <v>1351</v>
      </c>
      <c r="W38" s="22" t="s">
        <v>1352</v>
      </c>
      <c r="X38" s="22" t="s">
        <v>1353</v>
      </c>
      <c r="Y38" s="22" t="s">
        <v>1354</v>
      </c>
      <c r="Z38" s="22" t="s">
        <v>1355</v>
      </c>
      <c r="AA38" s="22" t="s">
        <v>1356</v>
      </c>
      <c r="AB38" s="22" t="s">
        <v>1357</v>
      </c>
      <c r="AC38" s="22" t="s">
        <v>1358</v>
      </c>
      <c r="AD38" s="194" t="s">
        <v>1359</v>
      </c>
      <c r="AE38" s="194" t="s">
        <v>1360</v>
      </c>
    </row>
    <row r="39" spans="1:31" ht="63.75" customHeight="1" x14ac:dyDescent="0.25">
      <c r="A39" s="190">
        <v>40</v>
      </c>
      <c r="B39" s="190">
        <f>COUNTIF(C38:C141,C39)</f>
        <v>1</v>
      </c>
      <c r="C39" s="22" t="s">
        <v>687</v>
      </c>
      <c r="D39" s="22" t="s">
        <v>688</v>
      </c>
      <c r="E39" s="22">
        <v>2024</v>
      </c>
      <c r="G39" s="22" t="s">
        <v>1361</v>
      </c>
      <c r="H39" s="22" t="s">
        <v>1362</v>
      </c>
      <c r="I39" s="22" t="s">
        <v>931</v>
      </c>
      <c r="J39" s="22" t="s">
        <v>579</v>
      </c>
      <c r="K39" s="22">
        <v>32</v>
      </c>
      <c r="L39" s="22" t="s">
        <v>1363</v>
      </c>
      <c r="M39" s="22" t="s">
        <v>1364</v>
      </c>
      <c r="N39" s="22" t="s">
        <v>1365</v>
      </c>
      <c r="O39" s="22" t="s">
        <v>1366</v>
      </c>
      <c r="P39" s="22" t="s">
        <v>1367</v>
      </c>
      <c r="Q39" s="22" t="s">
        <v>1120</v>
      </c>
      <c r="R39" s="22" t="s">
        <v>1120</v>
      </c>
      <c r="S39" s="22" t="s">
        <v>1368</v>
      </c>
      <c r="T39" s="22" t="s">
        <v>1369</v>
      </c>
      <c r="U39" s="22" t="s">
        <v>931</v>
      </c>
      <c r="V39" s="22" t="s">
        <v>1370</v>
      </c>
      <c r="W39" s="22" t="s">
        <v>1120</v>
      </c>
      <c r="X39" s="22" t="s">
        <v>1371</v>
      </c>
      <c r="Y39" s="22" t="s">
        <v>1372</v>
      </c>
      <c r="Z39" s="72">
        <v>0.92649999999999999</v>
      </c>
      <c r="AA39" s="72">
        <v>0.93020000000000003</v>
      </c>
      <c r="AB39" s="72">
        <v>0.91959999999999997</v>
      </c>
      <c r="AC39" s="22">
        <v>0.92290000000000005</v>
      </c>
      <c r="AD39" s="194" t="s">
        <v>1373</v>
      </c>
      <c r="AE39" s="194" t="s">
        <v>1374</v>
      </c>
    </row>
    <row r="40" spans="1:31" ht="63.75" customHeight="1" x14ac:dyDescent="0.25">
      <c r="A40" s="190">
        <v>41</v>
      </c>
      <c r="B40" s="190">
        <f>COUNTIF(C39:C142,C40)</f>
        <v>1</v>
      </c>
      <c r="C40" s="194" t="s">
        <v>689</v>
      </c>
      <c r="D40" s="22" t="s">
        <v>690</v>
      </c>
      <c r="E40" s="22">
        <v>2013</v>
      </c>
      <c r="G40" s="22" t="s">
        <v>1375</v>
      </c>
      <c r="H40" s="22" t="s">
        <v>1376</v>
      </c>
      <c r="I40" s="22" t="s">
        <v>931</v>
      </c>
      <c r="J40" s="22" t="s">
        <v>1377</v>
      </c>
      <c r="K40" s="22" t="s">
        <v>1378</v>
      </c>
      <c r="L40" s="22" t="s">
        <v>1379</v>
      </c>
      <c r="M40" s="22" t="s">
        <v>1380</v>
      </c>
      <c r="N40" s="22" t="s">
        <v>1381</v>
      </c>
      <c r="O40" s="22" t="s">
        <v>1382</v>
      </c>
      <c r="P40" s="22" t="s">
        <v>1383</v>
      </c>
      <c r="Q40" s="22" t="s">
        <v>1384</v>
      </c>
      <c r="R40" s="22" t="s">
        <v>1385</v>
      </c>
      <c r="S40" s="22">
        <v>3</v>
      </c>
      <c r="T40" s="22" t="s">
        <v>1386</v>
      </c>
      <c r="U40" s="22" t="s">
        <v>1387</v>
      </c>
      <c r="V40" s="22" t="s">
        <v>1388</v>
      </c>
      <c r="W40" s="22" t="s">
        <v>1120</v>
      </c>
      <c r="X40" s="22" t="s">
        <v>1389</v>
      </c>
      <c r="Y40" s="22" t="s">
        <v>1390</v>
      </c>
      <c r="Z40" s="22" t="s">
        <v>1391</v>
      </c>
      <c r="AA40" s="22" t="s">
        <v>1392</v>
      </c>
      <c r="AB40" s="22" t="s">
        <v>1391</v>
      </c>
      <c r="AC40" s="22" t="s">
        <v>1393</v>
      </c>
      <c r="AD40" s="194" t="s">
        <v>1394</v>
      </c>
      <c r="AE40" s="194" t="s">
        <v>1395</v>
      </c>
    </row>
    <row r="41" spans="1:31" ht="63.75" customHeight="1" x14ac:dyDescent="0.25">
      <c r="A41" s="190">
        <v>42</v>
      </c>
      <c r="B41" s="190">
        <f>COUNTIF(C40:C143,C41)</f>
        <v>1</v>
      </c>
      <c r="C41" s="22" t="s">
        <v>691</v>
      </c>
      <c r="D41" s="22" t="s">
        <v>692</v>
      </c>
      <c r="E41" s="22">
        <v>2021</v>
      </c>
      <c r="G41" s="22" t="s">
        <v>1396</v>
      </c>
      <c r="H41" s="22" t="s">
        <v>1397</v>
      </c>
      <c r="I41" s="22" t="s">
        <v>866</v>
      </c>
      <c r="J41" s="22" t="s">
        <v>1398</v>
      </c>
      <c r="K41" s="22" t="s">
        <v>1399</v>
      </c>
      <c r="L41" s="22" t="s">
        <v>1202</v>
      </c>
      <c r="M41" s="22" t="s">
        <v>1400</v>
      </c>
      <c r="N41" s="22" t="s">
        <v>1401</v>
      </c>
      <c r="O41" s="22" t="s">
        <v>1402</v>
      </c>
      <c r="P41" s="22" t="s">
        <v>1403</v>
      </c>
      <c r="Q41" s="22" t="s">
        <v>1404</v>
      </c>
      <c r="R41" s="22" t="s">
        <v>1313</v>
      </c>
      <c r="S41" s="22" t="s">
        <v>1405</v>
      </c>
      <c r="T41" s="22" t="s">
        <v>1406</v>
      </c>
      <c r="U41" s="22" t="s">
        <v>1407</v>
      </c>
      <c r="V41" s="22" t="s">
        <v>1408</v>
      </c>
      <c r="W41" s="22" t="s">
        <v>1409</v>
      </c>
      <c r="X41" s="22" t="s">
        <v>1410</v>
      </c>
      <c r="Y41" s="22" t="s">
        <v>1411</v>
      </c>
      <c r="Z41" s="22" t="s">
        <v>1412</v>
      </c>
      <c r="AA41" s="22" t="s">
        <v>1413</v>
      </c>
      <c r="AB41" s="22" t="s">
        <v>1414</v>
      </c>
      <c r="AC41" s="22" t="s">
        <v>1393</v>
      </c>
      <c r="AD41" s="194" t="s">
        <v>1415</v>
      </c>
      <c r="AE41" s="194" t="s">
        <v>1416</v>
      </c>
    </row>
    <row r="42" spans="1:31" s="196" customFormat="1" ht="63.75" customHeight="1" x14ac:dyDescent="0.25">
      <c r="A42" s="193">
        <v>43</v>
      </c>
      <c r="B42" s="193">
        <f>COUNTIF(C41:C144,C42)</f>
        <v>1</v>
      </c>
      <c r="C42" s="130" t="s">
        <v>693</v>
      </c>
      <c r="D42" s="130" t="s">
        <v>694</v>
      </c>
      <c r="E42" s="130">
        <v>2020</v>
      </c>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row>
    <row r="43" spans="1:31" s="196" customFormat="1" ht="63.75" customHeight="1" x14ac:dyDescent="0.25">
      <c r="A43" s="193">
        <v>44</v>
      </c>
      <c r="B43" s="193">
        <f>COUNTIF(C42:C145,C43)</f>
        <v>1</v>
      </c>
      <c r="C43" s="130" t="s">
        <v>695</v>
      </c>
      <c r="D43" s="130" t="s">
        <v>694</v>
      </c>
      <c r="E43" s="130">
        <v>2022</v>
      </c>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row>
    <row r="44" spans="1:31" ht="63.75" customHeight="1" x14ac:dyDescent="0.25">
      <c r="A44" s="190">
        <v>45</v>
      </c>
      <c r="B44" s="190">
        <f>COUNTIF(C43:C146,C44)</f>
        <v>1</v>
      </c>
      <c r="C44" s="22" t="s">
        <v>696</v>
      </c>
      <c r="D44" s="22" t="s">
        <v>697</v>
      </c>
      <c r="E44" s="22">
        <v>2024</v>
      </c>
      <c r="G44" s="22" t="s">
        <v>1506</v>
      </c>
      <c r="H44" s="22" t="s">
        <v>1507</v>
      </c>
      <c r="I44" s="22" t="s">
        <v>1508</v>
      </c>
      <c r="J44" s="22" t="s">
        <v>1509</v>
      </c>
      <c r="K44" s="22" t="s">
        <v>1510</v>
      </c>
      <c r="L44" s="22" t="s">
        <v>1511</v>
      </c>
      <c r="M44" s="22" t="s">
        <v>1512</v>
      </c>
      <c r="N44" s="22" t="s">
        <v>1513</v>
      </c>
      <c r="O44" s="22" t="s">
        <v>1514</v>
      </c>
      <c r="P44" s="22" t="s">
        <v>1515</v>
      </c>
      <c r="Q44" s="22" t="s">
        <v>931</v>
      </c>
      <c r="R44" s="22" t="s">
        <v>1313</v>
      </c>
      <c r="S44" s="22">
        <v>4</v>
      </c>
      <c r="T44" s="22" t="s">
        <v>1516</v>
      </c>
      <c r="U44" s="22" t="s">
        <v>931</v>
      </c>
      <c r="V44" s="22" t="s">
        <v>1517</v>
      </c>
      <c r="W44" s="22" t="s">
        <v>1120</v>
      </c>
      <c r="X44" s="22" t="s">
        <v>1518</v>
      </c>
      <c r="Y44" s="22" t="s">
        <v>1519</v>
      </c>
      <c r="Z44" s="22" t="s">
        <v>931</v>
      </c>
      <c r="AA44" s="22" t="s">
        <v>1520</v>
      </c>
      <c r="AB44" s="22" t="s">
        <v>1521</v>
      </c>
      <c r="AC44" s="22" t="s">
        <v>931</v>
      </c>
      <c r="AD44" s="194" t="s">
        <v>1522</v>
      </c>
      <c r="AE44" s="194" t="s">
        <v>1523</v>
      </c>
    </row>
    <row r="45" spans="1:31" ht="63.75" customHeight="1" x14ac:dyDescent="0.25">
      <c r="A45" s="190">
        <v>46</v>
      </c>
      <c r="B45" s="190">
        <f>COUNTIF(C44:C147,C45)</f>
        <v>1</v>
      </c>
      <c r="C45" s="22" t="s">
        <v>698</v>
      </c>
      <c r="D45" s="22" t="s">
        <v>699</v>
      </c>
      <c r="E45" s="22">
        <v>2022</v>
      </c>
      <c r="G45" s="22" t="s">
        <v>1524</v>
      </c>
      <c r="H45" s="22" t="s">
        <v>1525</v>
      </c>
      <c r="I45" s="22" t="s">
        <v>1526</v>
      </c>
      <c r="J45" s="22" t="s">
        <v>1527</v>
      </c>
      <c r="K45" s="22" t="s">
        <v>1528</v>
      </c>
      <c r="L45" s="22" t="s">
        <v>1202</v>
      </c>
      <c r="M45" s="22" t="s">
        <v>1529</v>
      </c>
      <c r="N45" s="22" t="s">
        <v>1530</v>
      </c>
      <c r="O45" s="22" t="s">
        <v>1531</v>
      </c>
      <c r="P45" s="22" t="s">
        <v>1532</v>
      </c>
      <c r="Q45" s="22" t="s">
        <v>931</v>
      </c>
      <c r="R45" s="22" t="s">
        <v>931</v>
      </c>
      <c r="S45" s="22">
        <v>3</v>
      </c>
      <c r="T45" s="22" t="s">
        <v>1533</v>
      </c>
      <c r="U45" s="22" t="s">
        <v>931</v>
      </c>
      <c r="V45" s="22" t="s">
        <v>1534</v>
      </c>
      <c r="W45" s="22" t="s">
        <v>1140</v>
      </c>
      <c r="X45" s="22" t="s">
        <v>1535</v>
      </c>
      <c r="Y45" s="22" t="s">
        <v>1536</v>
      </c>
      <c r="Z45" s="22" t="s">
        <v>931</v>
      </c>
      <c r="AA45" s="22" t="s">
        <v>1537</v>
      </c>
      <c r="AB45" s="22" t="s">
        <v>931</v>
      </c>
      <c r="AC45" s="22" t="s">
        <v>931</v>
      </c>
      <c r="AD45" s="194" t="s">
        <v>1538</v>
      </c>
      <c r="AE45" s="194" t="s">
        <v>1539</v>
      </c>
    </row>
    <row r="46" spans="1:31" ht="63.75" customHeight="1" x14ac:dyDescent="0.25">
      <c r="A46" s="190">
        <v>47</v>
      </c>
      <c r="B46" s="190">
        <f>COUNTIF(C45:C148,C46)</f>
        <v>1</v>
      </c>
      <c r="C46" s="22" t="s">
        <v>700</v>
      </c>
      <c r="D46" s="22" t="s">
        <v>701</v>
      </c>
      <c r="E46" s="22">
        <v>2017</v>
      </c>
      <c r="G46" s="22" t="s">
        <v>1890</v>
      </c>
      <c r="H46" s="22" t="s">
        <v>1891</v>
      </c>
      <c r="I46" s="22" t="s">
        <v>1892</v>
      </c>
      <c r="J46" s="22" t="s">
        <v>1893</v>
      </c>
      <c r="K46" s="22" t="s">
        <v>1894</v>
      </c>
      <c r="L46" s="22" t="s">
        <v>1895</v>
      </c>
      <c r="M46" s="22" t="s">
        <v>1896</v>
      </c>
      <c r="N46" s="22" t="s">
        <v>1897</v>
      </c>
      <c r="O46" s="22" t="s">
        <v>1898</v>
      </c>
      <c r="P46" s="22" t="s">
        <v>1899</v>
      </c>
      <c r="Q46" s="22" t="s">
        <v>1105</v>
      </c>
      <c r="R46" s="22" t="s">
        <v>1900</v>
      </c>
      <c r="S46" s="22" t="s">
        <v>1901</v>
      </c>
      <c r="T46" s="22" t="s">
        <v>1141</v>
      </c>
      <c r="U46" s="22" t="s">
        <v>1902</v>
      </c>
      <c r="V46" s="22" t="s">
        <v>1903</v>
      </c>
      <c r="W46" s="22" t="s">
        <v>1105</v>
      </c>
      <c r="X46" s="22" t="s">
        <v>1904</v>
      </c>
      <c r="Y46" s="22" t="s">
        <v>1105</v>
      </c>
      <c r="Z46" s="22" t="s">
        <v>1105</v>
      </c>
      <c r="AA46" s="22" t="s">
        <v>1905</v>
      </c>
      <c r="AB46" s="22" t="s">
        <v>1105</v>
      </c>
      <c r="AC46" s="22" t="s">
        <v>1105</v>
      </c>
      <c r="AD46" s="194" t="s">
        <v>1906</v>
      </c>
      <c r="AE46" s="194" t="s">
        <v>1907</v>
      </c>
    </row>
    <row r="47" spans="1:31" ht="63.75" customHeight="1" x14ac:dyDescent="0.25">
      <c r="A47" s="190">
        <v>48</v>
      </c>
      <c r="B47" s="190">
        <f>COUNTIF(C46:C149,C47)</f>
        <v>1</v>
      </c>
      <c r="C47" s="22" t="s">
        <v>702</v>
      </c>
      <c r="D47" s="22" t="s">
        <v>701</v>
      </c>
      <c r="E47" s="22">
        <v>2017</v>
      </c>
      <c r="G47" s="22" t="s">
        <v>1954</v>
      </c>
      <c r="H47" s="22" t="s">
        <v>1955</v>
      </c>
      <c r="I47" s="22" t="s">
        <v>1956</v>
      </c>
      <c r="J47" s="22" t="s">
        <v>1957</v>
      </c>
      <c r="K47" s="22" t="s">
        <v>1958</v>
      </c>
      <c r="L47" s="22" t="s">
        <v>1959</v>
      </c>
      <c r="M47" s="22" t="s">
        <v>1544</v>
      </c>
      <c r="N47" s="22" t="s">
        <v>1960</v>
      </c>
      <c r="O47" s="22" t="s">
        <v>1961</v>
      </c>
      <c r="P47" s="22" t="s">
        <v>1962</v>
      </c>
      <c r="Q47" s="22" t="s">
        <v>931</v>
      </c>
      <c r="R47" s="22" t="s">
        <v>1963</v>
      </c>
      <c r="S47" s="22" t="s">
        <v>1964</v>
      </c>
      <c r="T47" s="22" t="s">
        <v>1965</v>
      </c>
      <c r="U47" s="22" t="s">
        <v>1966</v>
      </c>
      <c r="V47" s="22" t="s">
        <v>1967</v>
      </c>
      <c r="W47" s="22" t="s">
        <v>1968</v>
      </c>
      <c r="X47" s="22" t="s">
        <v>1969</v>
      </c>
      <c r="Y47" s="22" t="s">
        <v>931</v>
      </c>
      <c r="Z47" s="22" t="s">
        <v>1970</v>
      </c>
      <c r="AA47" s="22" t="s">
        <v>1971</v>
      </c>
      <c r="AB47" s="22" t="s">
        <v>931</v>
      </c>
      <c r="AC47" s="22" t="s">
        <v>931</v>
      </c>
      <c r="AD47" s="194" t="s">
        <v>1972</v>
      </c>
      <c r="AE47" s="194" t="s">
        <v>1973</v>
      </c>
    </row>
    <row r="48" spans="1:31" ht="63.75" customHeight="1" x14ac:dyDescent="0.25">
      <c r="A48" s="190">
        <v>49</v>
      </c>
      <c r="B48" s="190">
        <f>COUNTIF(C47:C150,C48)</f>
        <v>1</v>
      </c>
      <c r="C48" s="194" t="s">
        <v>703</v>
      </c>
      <c r="D48" s="22" t="s">
        <v>704</v>
      </c>
      <c r="E48" s="22">
        <v>2021</v>
      </c>
      <c r="G48" s="22" t="s">
        <v>1540</v>
      </c>
      <c r="H48" s="22" t="s">
        <v>931</v>
      </c>
      <c r="I48" s="22" t="s">
        <v>1541</v>
      </c>
      <c r="J48" s="22" t="s">
        <v>1542</v>
      </c>
      <c r="K48" s="22" t="s">
        <v>1543</v>
      </c>
      <c r="L48" s="22" t="s">
        <v>1202</v>
      </c>
      <c r="M48" s="22" t="s">
        <v>1544</v>
      </c>
      <c r="N48" s="22" t="s">
        <v>1545</v>
      </c>
      <c r="O48" s="22" t="s">
        <v>1546</v>
      </c>
      <c r="P48" s="22" t="s">
        <v>1547</v>
      </c>
      <c r="Q48" s="22" t="s">
        <v>931</v>
      </c>
      <c r="R48" s="22" t="s">
        <v>931</v>
      </c>
      <c r="S48" s="22">
        <v>4</v>
      </c>
      <c r="T48" s="22" t="s">
        <v>1548</v>
      </c>
      <c r="U48" s="22" t="s">
        <v>1549</v>
      </c>
      <c r="V48" s="22" t="s">
        <v>1550</v>
      </c>
      <c r="W48" s="22" t="s">
        <v>931</v>
      </c>
      <c r="X48" s="22" t="s">
        <v>1551</v>
      </c>
      <c r="Y48" s="22" t="s">
        <v>1536</v>
      </c>
      <c r="Z48" s="22" t="s">
        <v>931</v>
      </c>
      <c r="AA48" s="22" t="s">
        <v>1552</v>
      </c>
      <c r="AB48" s="22" t="s">
        <v>931</v>
      </c>
      <c r="AC48" s="22" t="s">
        <v>931</v>
      </c>
      <c r="AD48" s="194" t="s">
        <v>1553</v>
      </c>
      <c r="AE48" s="194" t="s">
        <v>1554</v>
      </c>
    </row>
    <row r="49" spans="1:31" ht="63.75" customHeight="1" x14ac:dyDescent="0.25">
      <c r="A49" s="190">
        <v>50</v>
      </c>
      <c r="B49" s="190">
        <f>COUNTIF(C48:C151,C49)</f>
        <v>1</v>
      </c>
      <c r="C49" s="194" t="s">
        <v>705</v>
      </c>
      <c r="D49" s="22" t="s">
        <v>706</v>
      </c>
      <c r="E49" s="22">
        <v>2018</v>
      </c>
      <c r="G49" s="22" t="s">
        <v>2108</v>
      </c>
      <c r="H49" s="22" t="s">
        <v>1105</v>
      </c>
      <c r="I49" s="22" t="s">
        <v>1105</v>
      </c>
      <c r="J49" s="22" t="s">
        <v>2109</v>
      </c>
      <c r="K49" s="22" t="s">
        <v>2110</v>
      </c>
      <c r="L49" s="22" t="s">
        <v>2111</v>
      </c>
      <c r="M49" s="22" t="s">
        <v>2112</v>
      </c>
      <c r="N49" s="22" t="s">
        <v>2113</v>
      </c>
      <c r="O49" s="22" t="s">
        <v>2114</v>
      </c>
      <c r="P49" s="22" t="s">
        <v>2115</v>
      </c>
      <c r="Q49" s="22" t="s">
        <v>2116</v>
      </c>
      <c r="R49" s="22" t="s">
        <v>2117</v>
      </c>
      <c r="S49" s="22" t="s">
        <v>2118</v>
      </c>
      <c r="T49" s="22" t="s">
        <v>2119</v>
      </c>
      <c r="U49" s="22" t="s">
        <v>2120</v>
      </c>
      <c r="V49" s="22" t="s">
        <v>2121</v>
      </c>
      <c r="W49" s="22" t="s">
        <v>2122</v>
      </c>
      <c r="X49" s="22" t="s">
        <v>2123</v>
      </c>
      <c r="Y49" s="22" t="s">
        <v>2124</v>
      </c>
      <c r="Z49" s="22" t="s">
        <v>1105</v>
      </c>
      <c r="AA49" s="22" t="s">
        <v>2125</v>
      </c>
      <c r="AB49" s="22" t="s">
        <v>1105</v>
      </c>
      <c r="AC49" s="22" t="s">
        <v>1105</v>
      </c>
      <c r="AD49" s="194" t="s">
        <v>2126</v>
      </c>
      <c r="AE49" s="194" t="s">
        <v>2127</v>
      </c>
    </row>
    <row r="50" spans="1:31" ht="63.75" customHeight="1" x14ac:dyDescent="0.25">
      <c r="A50" s="190">
        <v>51</v>
      </c>
      <c r="B50" s="190">
        <f>COUNTIF(C49:C152,C50)</f>
        <v>1</v>
      </c>
      <c r="C50" s="194" t="s">
        <v>707</v>
      </c>
      <c r="D50" s="22" t="s">
        <v>708</v>
      </c>
      <c r="E50" s="22">
        <v>2023</v>
      </c>
      <c r="G50" s="22" t="s">
        <v>2128</v>
      </c>
      <c r="H50" s="22" t="s">
        <v>2129</v>
      </c>
      <c r="I50" s="22" t="s">
        <v>1105</v>
      </c>
      <c r="J50" s="22" t="s">
        <v>2130</v>
      </c>
      <c r="K50" s="22" t="s">
        <v>2131</v>
      </c>
      <c r="L50" s="22" t="s">
        <v>2132</v>
      </c>
      <c r="M50" s="22" t="s">
        <v>2133</v>
      </c>
      <c r="N50" s="22" t="s">
        <v>2134</v>
      </c>
      <c r="O50" s="22" t="s">
        <v>2135</v>
      </c>
      <c r="P50" s="22" t="s">
        <v>2136</v>
      </c>
      <c r="Q50" s="22" t="s">
        <v>2137</v>
      </c>
      <c r="R50" s="22" t="s">
        <v>1105</v>
      </c>
      <c r="S50" s="22" t="s">
        <v>2138</v>
      </c>
      <c r="T50" s="22" t="s">
        <v>2139</v>
      </c>
      <c r="U50" s="22" t="s">
        <v>2140</v>
      </c>
      <c r="V50" s="22" t="s">
        <v>2141</v>
      </c>
      <c r="W50" s="22" t="s">
        <v>2142</v>
      </c>
      <c r="X50" s="22" t="s">
        <v>2143</v>
      </c>
      <c r="Y50" s="22" t="s">
        <v>2144</v>
      </c>
      <c r="AA50" s="22" t="s">
        <v>2145</v>
      </c>
      <c r="AD50" s="194" t="s">
        <v>2146</v>
      </c>
      <c r="AE50" s="194" t="s">
        <v>2147</v>
      </c>
    </row>
    <row r="51" spans="1:31" ht="63.75" customHeight="1" x14ac:dyDescent="0.25">
      <c r="A51" s="190">
        <v>52</v>
      </c>
      <c r="B51" s="190">
        <f>COUNTIF(C50:C153,C51)</f>
        <v>1</v>
      </c>
      <c r="C51" s="194" t="s">
        <v>709</v>
      </c>
      <c r="D51" s="22" t="s">
        <v>710</v>
      </c>
      <c r="E51" s="22">
        <v>2023</v>
      </c>
      <c r="G51" s="22" t="s">
        <v>1908</v>
      </c>
      <c r="H51" s="22" t="s">
        <v>1909</v>
      </c>
      <c r="I51" s="22" t="s">
        <v>1910</v>
      </c>
      <c r="J51" s="22" t="s">
        <v>1911</v>
      </c>
      <c r="K51" s="22" t="s">
        <v>1912</v>
      </c>
      <c r="L51" s="22" t="s">
        <v>1913</v>
      </c>
      <c r="M51" s="22" t="s">
        <v>1914</v>
      </c>
      <c r="N51" s="22" t="s">
        <v>1915</v>
      </c>
      <c r="O51" s="22" t="s">
        <v>1916</v>
      </c>
      <c r="P51" s="22" t="s">
        <v>1917</v>
      </c>
      <c r="Q51" s="22" t="s">
        <v>1918</v>
      </c>
      <c r="R51" s="22" t="s">
        <v>1919</v>
      </c>
      <c r="S51" s="22" t="s">
        <v>1901</v>
      </c>
      <c r="T51" s="22" t="s">
        <v>1920</v>
      </c>
      <c r="U51" s="22" t="s">
        <v>1921</v>
      </c>
      <c r="V51" s="22" t="s">
        <v>1922</v>
      </c>
      <c r="W51" s="22" t="s">
        <v>931</v>
      </c>
      <c r="X51" s="22" t="s">
        <v>1923</v>
      </c>
      <c r="Y51" s="22" t="s">
        <v>1924</v>
      </c>
      <c r="Z51" s="22" t="s">
        <v>1925</v>
      </c>
      <c r="AA51" s="22" t="s">
        <v>1926</v>
      </c>
      <c r="AB51" s="22" t="s">
        <v>1927</v>
      </c>
      <c r="AC51" s="22" t="s">
        <v>1928</v>
      </c>
      <c r="AD51" s="194" t="s">
        <v>1929</v>
      </c>
      <c r="AE51" s="194" t="s">
        <v>1930</v>
      </c>
    </row>
    <row r="52" spans="1:31" ht="63.75" customHeight="1" x14ac:dyDescent="0.25">
      <c r="A52" s="190">
        <v>53</v>
      </c>
      <c r="B52" s="190">
        <f>COUNTIF(C51:C154,C52)</f>
        <v>1</v>
      </c>
      <c r="C52" s="194" t="s">
        <v>711</v>
      </c>
      <c r="D52" s="22" t="s">
        <v>712</v>
      </c>
      <c r="E52" s="22">
        <v>2024</v>
      </c>
      <c r="G52" s="22" t="s">
        <v>1555</v>
      </c>
      <c r="H52" s="22" t="s">
        <v>931</v>
      </c>
      <c r="I52" s="22" t="s">
        <v>1556</v>
      </c>
      <c r="J52" s="22" t="s">
        <v>1557</v>
      </c>
      <c r="K52" s="22" t="s">
        <v>1558</v>
      </c>
      <c r="L52" s="22" t="s">
        <v>1559</v>
      </c>
      <c r="M52" s="22" t="s">
        <v>1560</v>
      </c>
      <c r="N52" s="22" t="s">
        <v>1561</v>
      </c>
      <c r="O52" s="22" t="s">
        <v>1562</v>
      </c>
      <c r="P52" s="22" t="s">
        <v>931</v>
      </c>
      <c r="Q52" s="22" t="s">
        <v>931</v>
      </c>
      <c r="R52" s="22" t="s">
        <v>931</v>
      </c>
      <c r="S52" s="22">
        <v>6</v>
      </c>
      <c r="T52" s="22" t="s">
        <v>1563</v>
      </c>
      <c r="U52" s="22" t="s">
        <v>1564</v>
      </c>
      <c r="V52" s="22" t="s">
        <v>1565</v>
      </c>
      <c r="W52" s="22" t="s">
        <v>931</v>
      </c>
      <c r="X52" s="22" t="s">
        <v>1566</v>
      </c>
      <c r="Y52" s="22" t="s">
        <v>1567</v>
      </c>
      <c r="Z52" s="22" t="s">
        <v>1568</v>
      </c>
      <c r="AA52" s="22" t="s">
        <v>1569</v>
      </c>
      <c r="AB52" s="22" t="s">
        <v>1570</v>
      </c>
      <c r="AC52" s="22" t="s">
        <v>931</v>
      </c>
      <c r="AD52" s="194" t="s">
        <v>1571</v>
      </c>
      <c r="AE52" s="194" t="s">
        <v>1572</v>
      </c>
    </row>
    <row r="53" spans="1:31" ht="63.75" customHeight="1" x14ac:dyDescent="0.25">
      <c r="A53" s="190">
        <v>54</v>
      </c>
      <c r="B53" s="190">
        <f>COUNTIF(C52:C155,C53)</f>
        <v>1</v>
      </c>
      <c r="C53" s="194" t="s">
        <v>713</v>
      </c>
      <c r="D53" s="22" t="s">
        <v>714</v>
      </c>
      <c r="E53" s="22">
        <v>2019</v>
      </c>
      <c r="G53" s="22" t="s">
        <v>1573</v>
      </c>
      <c r="H53" s="22" t="s">
        <v>1574</v>
      </c>
      <c r="I53" s="22" t="s">
        <v>42</v>
      </c>
      <c r="J53" s="22" t="s">
        <v>1575</v>
      </c>
      <c r="K53" s="22" t="s">
        <v>1576</v>
      </c>
      <c r="L53" s="22" t="s">
        <v>1577</v>
      </c>
      <c r="M53" s="22" t="s">
        <v>1578</v>
      </c>
      <c r="N53" s="22" t="s">
        <v>1579</v>
      </c>
      <c r="O53" s="22" t="s">
        <v>1580</v>
      </c>
      <c r="P53" s="22" t="s">
        <v>1581</v>
      </c>
      <c r="Q53" s="22" t="s">
        <v>931</v>
      </c>
      <c r="R53" s="22" t="s">
        <v>931</v>
      </c>
      <c r="S53" s="22" t="s">
        <v>1582</v>
      </c>
      <c r="T53" s="22" t="s">
        <v>1583</v>
      </c>
      <c r="U53" s="22" t="s">
        <v>1584</v>
      </c>
      <c r="V53" s="22" t="s">
        <v>1585</v>
      </c>
      <c r="W53" s="22" t="s">
        <v>931</v>
      </c>
      <c r="X53" s="22" t="s">
        <v>1586</v>
      </c>
      <c r="Y53" s="22" t="s">
        <v>1567</v>
      </c>
      <c r="Z53" s="22" t="s">
        <v>931</v>
      </c>
      <c r="AA53" s="22" t="s">
        <v>1587</v>
      </c>
      <c r="AB53" s="22" t="s">
        <v>931</v>
      </c>
      <c r="AC53" s="22" t="s">
        <v>931</v>
      </c>
      <c r="AD53" s="194" t="s">
        <v>1588</v>
      </c>
      <c r="AE53" s="194" t="s">
        <v>1589</v>
      </c>
    </row>
    <row r="54" spans="1:31" ht="63.75" customHeight="1" x14ac:dyDescent="0.25">
      <c r="A54" s="190">
        <v>55</v>
      </c>
      <c r="B54" s="190">
        <f>COUNTIF(C53:C156,C54)</f>
        <v>1</v>
      </c>
      <c r="C54" s="194" t="s">
        <v>715</v>
      </c>
      <c r="D54" s="22" t="s">
        <v>716</v>
      </c>
      <c r="E54" s="22">
        <v>2023</v>
      </c>
      <c r="G54" s="22" t="s">
        <v>1041</v>
      </c>
      <c r="I54" s="22" t="s">
        <v>1042</v>
      </c>
      <c r="K54" s="22" t="s">
        <v>1043</v>
      </c>
      <c r="L54" s="22" t="s">
        <v>1046</v>
      </c>
      <c r="M54" s="22" t="s">
        <v>1045</v>
      </c>
      <c r="N54" s="22" t="s">
        <v>1044</v>
      </c>
      <c r="O54" s="22" t="s">
        <v>1047</v>
      </c>
      <c r="P54" s="22" t="s">
        <v>1048</v>
      </c>
      <c r="Q54" s="22" t="s">
        <v>1049</v>
      </c>
      <c r="R54" s="22" t="s">
        <v>1049</v>
      </c>
      <c r="S54" s="22">
        <v>4</v>
      </c>
      <c r="T54" s="22" t="s">
        <v>1050</v>
      </c>
      <c r="V54" s="22" t="s">
        <v>1051</v>
      </c>
      <c r="W54" s="22" t="s">
        <v>1056</v>
      </c>
      <c r="X54" s="22" t="s">
        <v>1052</v>
      </c>
      <c r="AA54" s="22" t="s">
        <v>1053</v>
      </c>
      <c r="AD54" s="194" t="s">
        <v>1054</v>
      </c>
      <c r="AE54" s="194" t="s">
        <v>1055</v>
      </c>
    </row>
    <row r="55" spans="1:31" ht="63.75" customHeight="1" x14ac:dyDescent="0.25">
      <c r="A55" s="190">
        <v>56</v>
      </c>
      <c r="B55" s="190">
        <f>COUNTIF(C54:C157,C55)</f>
        <v>1</v>
      </c>
      <c r="C55" s="194" t="s">
        <v>717</v>
      </c>
      <c r="D55" s="22" t="s">
        <v>716</v>
      </c>
      <c r="E55" s="22">
        <v>2023</v>
      </c>
      <c r="G55" s="22" t="s">
        <v>1590</v>
      </c>
      <c r="H55" s="22" t="s">
        <v>931</v>
      </c>
      <c r="I55" s="22" t="s">
        <v>1591</v>
      </c>
      <c r="J55" s="22" t="s">
        <v>1592</v>
      </c>
      <c r="K55" s="22" t="s">
        <v>1593</v>
      </c>
      <c r="L55" s="22" t="s">
        <v>1594</v>
      </c>
      <c r="M55" s="22" t="s">
        <v>1595</v>
      </c>
      <c r="N55" s="22" t="s">
        <v>1596</v>
      </c>
      <c r="O55" s="22" t="s">
        <v>1597</v>
      </c>
      <c r="P55" s="22" t="s">
        <v>931</v>
      </c>
      <c r="Q55" s="22" t="s">
        <v>931</v>
      </c>
      <c r="R55" s="22" t="s">
        <v>1598</v>
      </c>
      <c r="S55" s="22">
        <v>4</v>
      </c>
      <c r="T55" s="22" t="s">
        <v>1599</v>
      </c>
      <c r="U55" s="22" t="s">
        <v>1600</v>
      </c>
      <c r="V55" s="22" t="s">
        <v>1601</v>
      </c>
      <c r="W55" s="22" t="s">
        <v>931</v>
      </c>
      <c r="X55" s="22" t="s">
        <v>1602</v>
      </c>
      <c r="Y55" s="22" t="s">
        <v>1603</v>
      </c>
      <c r="Z55" s="22" t="s">
        <v>931</v>
      </c>
      <c r="AA55" s="22" t="s">
        <v>1604</v>
      </c>
      <c r="AB55" s="22" t="s">
        <v>931</v>
      </c>
      <c r="AC55" s="22" t="s">
        <v>931</v>
      </c>
      <c r="AD55" s="194" t="s">
        <v>1605</v>
      </c>
      <c r="AE55" s="194" t="s">
        <v>1606</v>
      </c>
    </row>
    <row r="56" spans="1:31" ht="63.75" customHeight="1" x14ac:dyDescent="0.25">
      <c r="A56" s="190">
        <v>57</v>
      </c>
      <c r="B56" s="190">
        <f>COUNTIF(C55:C158,C56)</f>
        <v>1</v>
      </c>
      <c r="C56" s="194" t="s">
        <v>718</v>
      </c>
      <c r="D56" s="22" t="s">
        <v>719</v>
      </c>
      <c r="E56" s="22">
        <v>2019</v>
      </c>
      <c r="G56" s="22" t="s">
        <v>2046</v>
      </c>
      <c r="H56" s="22" t="s">
        <v>2047</v>
      </c>
      <c r="I56" s="22" t="s">
        <v>2048</v>
      </c>
      <c r="J56" s="22" t="s">
        <v>2049</v>
      </c>
      <c r="K56" s="22" t="s">
        <v>2050</v>
      </c>
      <c r="L56" s="22" t="s">
        <v>2051</v>
      </c>
      <c r="M56" s="22" t="s">
        <v>2052</v>
      </c>
      <c r="N56" s="22" t="s">
        <v>2053</v>
      </c>
      <c r="O56" s="22" t="s">
        <v>2054</v>
      </c>
      <c r="P56" s="22" t="s">
        <v>2055</v>
      </c>
      <c r="Q56" s="22" t="s">
        <v>931</v>
      </c>
      <c r="R56" s="22" t="s">
        <v>931</v>
      </c>
      <c r="S56" s="22" t="s">
        <v>2056</v>
      </c>
      <c r="T56" s="22" t="s">
        <v>2057</v>
      </c>
      <c r="U56" s="22" t="s">
        <v>2058</v>
      </c>
      <c r="V56" s="22" t="s">
        <v>2059</v>
      </c>
      <c r="W56" s="22" t="s">
        <v>931</v>
      </c>
      <c r="X56" s="22" t="s">
        <v>2060</v>
      </c>
      <c r="Y56" s="22" t="s">
        <v>2061</v>
      </c>
      <c r="Z56" s="22" t="s">
        <v>2062</v>
      </c>
      <c r="AA56" s="22" t="s">
        <v>2063</v>
      </c>
      <c r="AB56" s="22" t="s">
        <v>931</v>
      </c>
      <c r="AC56" s="22" t="s">
        <v>931</v>
      </c>
      <c r="AD56" s="194" t="s">
        <v>2064</v>
      </c>
      <c r="AE56" s="194" t="s">
        <v>2065</v>
      </c>
    </row>
    <row r="57" spans="1:31" ht="63.75" customHeight="1" x14ac:dyDescent="0.25">
      <c r="A57" s="190">
        <v>58</v>
      </c>
      <c r="B57" s="190">
        <f>COUNTIF(C56:C159,C57)</f>
        <v>1</v>
      </c>
      <c r="C57" s="194" t="s">
        <v>720</v>
      </c>
      <c r="D57" s="22" t="s">
        <v>721</v>
      </c>
      <c r="E57" s="22">
        <v>2022</v>
      </c>
      <c r="G57" s="22" t="s">
        <v>2068</v>
      </c>
      <c r="H57" s="22" t="s">
        <v>2148</v>
      </c>
      <c r="I57" s="22" t="s">
        <v>2149</v>
      </c>
      <c r="J57" s="22" t="s">
        <v>579</v>
      </c>
      <c r="K57" s="22">
        <v>8</v>
      </c>
      <c r="L57" s="22" t="s">
        <v>2150</v>
      </c>
      <c r="M57" s="22" t="s">
        <v>2151</v>
      </c>
      <c r="N57" s="22" t="s">
        <v>2152</v>
      </c>
      <c r="O57" s="22" t="s">
        <v>2153</v>
      </c>
      <c r="P57" s="22" t="s">
        <v>2154</v>
      </c>
      <c r="Q57" s="22" t="s">
        <v>2155</v>
      </c>
      <c r="R57" s="22" t="s">
        <v>2156</v>
      </c>
      <c r="S57" s="22">
        <v>6</v>
      </c>
      <c r="T57" s="22" t="s">
        <v>2157</v>
      </c>
      <c r="U57" s="22" t="s">
        <v>2158</v>
      </c>
      <c r="V57" s="22" t="s">
        <v>2159</v>
      </c>
      <c r="W57" s="22" t="s">
        <v>866</v>
      </c>
      <c r="X57" s="22" t="s">
        <v>2160</v>
      </c>
      <c r="Y57" s="22" t="s">
        <v>2161</v>
      </c>
      <c r="Z57" s="22" t="s">
        <v>2162</v>
      </c>
      <c r="AA57" s="22" t="s">
        <v>2163</v>
      </c>
      <c r="AB57" s="22" t="s">
        <v>931</v>
      </c>
      <c r="AC57" s="22" t="s">
        <v>931</v>
      </c>
      <c r="AD57" s="194" t="s">
        <v>2164</v>
      </c>
      <c r="AE57" s="194" t="s">
        <v>2165</v>
      </c>
    </row>
    <row r="58" spans="1:31" s="196" customFormat="1" ht="63.75" customHeight="1" x14ac:dyDescent="0.25">
      <c r="A58" s="193">
        <v>59</v>
      </c>
      <c r="B58" s="193">
        <f>COUNTIF(C57:C160,C58)</f>
        <v>1</v>
      </c>
      <c r="C58" s="196" t="s">
        <v>722</v>
      </c>
      <c r="D58" s="130" t="s">
        <v>723</v>
      </c>
      <c r="E58" s="130">
        <v>2023</v>
      </c>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row>
    <row r="59" spans="1:31" ht="63.75" customHeight="1" x14ac:dyDescent="0.25">
      <c r="A59" s="190">
        <v>60</v>
      </c>
      <c r="B59" s="190">
        <f>COUNTIF(C58:C161,C59)</f>
        <v>1</v>
      </c>
      <c r="C59" s="194" t="s">
        <v>724</v>
      </c>
      <c r="D59" s="22" t="s">
        <v>725</v>
      </c>
      <c r="E59" s="22">
        <v>2023</v>
      </c>
      <c r="G59" s="22" t="s">
        <v>1931</v>
      </c>
      <c r="H59" s="22" t="s">
        <v>1932</v>
      </c>
      <c r="I59" s="22" t="s">
        <v>1933</v>
      </c>
      <c r="J59" s="22" t="s">
        <v>1934</v>
      </c>
      <c r="K59" s="22" t="s">
        <v>1935</v>
      </c>
      <c r="L59" s="22" t="s">
        <v>931</v>
      </c>
      <c r="M59" s="22" t="s">
        <v>1936</v>
      </c>
      <c r="N59" s="22" t="s">
        <v>1937</v>
      </c>
      <c r="O59" s="22" t="s">
        <v>1938</v>
      </c>
      <c r="P59" s="22" t="s">
        <v>1939</v>
      </c>
      <c r="Q59" s="22" t="s">
        <v>1940</v>
      </c>
      <c r="R59" s="22" t="s">
        <v>931</v>
      </c>
      <c r="S59" s="22" t="s">
        <v>1941</v>
      </c>
      <c r="T59" s="22" t="s">
        <v>1942</v>
      </c>
      <c r="U59" s="22" t="s">
        <v>1943</v>
      </c>
      <c r="V59" s="22" t="s">
        <v>1944</v>
      </c>
      <c r="W59" s="22" t="s">
        <v>1945</v>
      </c>
      <c r="X59" s="22" t="s">
        <v>1946</v>
      </c>
      <c r="Y59" s="22" t="s">
        <v>1947</v>
      </c>
      <c r="Z59" s="22" t="s">
        <v>1948</v>
      </c>
      <c r="AA59" s="22" t="s">
        <v>1949</v>
      </c>
      <c r="AB59" s="22" t="s">
        <v>1950</v>
      </c>
      <c r="AC59" s="22" t="s">
        <v>1951</v>
      </c>
      <c r="AD59" s="194" t="s">
        <v>1952</v>
      </c>
      <c r="AE59" s="194" t="s">
        <v>1953</v>
      </c>
    </row>
    <row r="60" spans="1:31" ht="63.75" customHeight="1" x14ac:dyDescent="0.25">
      <c r="A60" s="190">
        <v>61</v>
      </c>
      <c r="B60" s="190">
        <f>COUNTIF(C59:C162,C60)</f>
        <v>1</v>
      </c>
      <c r="C60" s="194" t="s">
        <v>726</v>
      </c>
      <c r="D60" s="22" t="s">
        <v>727</v>
      </c>
      <c r="E60" s="22">
        <v>2013</v>
      </c>
      <c r="G60" s="22" t="s">
        <v>1607</v>
      </c>
      <c r="H60" s="22" t="s">
        <v>1608</v>
      </c>
      <c r="I60" s="22" t="s">
        <v>1609</v>
      </c>
      <c r="J60" s="22" t="s">
        <v>1610</v>
      </c>
      <c r="K60" s="22" t="s">
        <v>1611</v>
      </c>
      <c r="L60" s="22" t="s">
        <v>1612</v>
      </c>
      <c r="M60" s="22" t="s">
        <v>1613</v>
      </c>
      <c r="N60" s="22" t="s">
        <v>1614</v>
      </c>
      <c r="O60" s="22" t="s">
        <v>1615</v>
      </c>
      <c r="P60" s="22" t="s">
        <v>931</v>
      </c>
      <c r="Q60" s="22" t="s">
        <v>1616</v>
      </c>
      <c r="R60" s="22" t="s">
        <v>1617</v>
      </c>
      <c r="S60" s="22">
        <v>6</v>
      </c>
      <c r="T60" s="22" t="s">
        <v>1618</v>
      </c>
      <c r="U60" s="22" t="s">
        <v>1619</v>
      </c>
      <c r="V60" s="22" t="s">
        <v>1620</v>
      </c>
      <c r="W60" s="22" t="s">
        <v>931</v>
      </c>
      <c r="X60" s="22" t="s">
        <v>1621</v>
      </c>
      <c r="Y60" s="22" t="s">
        <v>1622</v>
      </c>
      <c r="Z60" s="22" t="s">
        <v>1623</v>
      </c>
      <c r="AA60" s="22" t="s">
        <v>1624</v>
      </c>
      <c r="AB60" s="22" t="s">
        <v>1625</v>
      </c>
      <c r="AC60" s="22" t="s">
        <v>931</v>
      </c>
      <c r="AD60" s="194" t="s">
        <v>1626</v>
      </c>
      <c r="AE60" s="194" t="s">
        <v>1627</v>
      </c>
    </row>
    <row r="61" spans="1:31" ht="63.75" customHeight="1" x14ac:dyDescent="0.25">
      <c r="A61" s="190">
        <v>62</v>
      </c>
      <c r="B61" s="190">
        <f>COUNTIF(C60:C163,C61)</f>
        <v>1</v>
      </c>
      <c r="C61" s="194" t="s">
        <v>728</v>
      </c>
      <c r="D61" s="22" t="s">
        <v>729</v>
      </c>
      <c r="E61" s="22">
        <v>2017</v>
      </c>
      <c r="G61" s="22" t="s">
        <v>1628</v>
      </c>
      <c r="H61" s="22" t="s">
        <v>1629</v>
      </c>
      <c r="I61" s="22" t="s">
        <v>1630</v>
      </c>
      <c r="J61" s="22" t="s">
        <v>1631</v>
      </c>
      <c r="K61" s="22" t="s">
        <v>1632</v>
      </c>
      <c r="L61" s="22" t="s">
        <v>1633</v>
      </c>
      <c r="M61" s="22" t="s">
        <v>1634</v>
      </c>
      <c r="N61" s="22" t="s">
        <v>1635</v>
      </c>
      <c r="O61" s="22" t="s">
        <v>1636</v>
      </c>
      <c r="P61" s="22" t="s">
        <v>1637</v>
      </c>
      <c r="Q61" s="22" t="s">
        <v>1120</v>
      </c>
      <c r="R61" s="22" t="s">
        <v>1638</v>
      </c>
      <c r="S61" s="22">
        <v>4</v>
      </c>
      <c r="T61" s="22" t="s">
        <v>1639</v>
      </c>
      <c r="U61" s="22" t="s">
        <v>1640</v>
      </c>
      <c r="V61" s="22" t="s">
        <v>1641</v>
      </c>
      <c r="W61" s="22" t="s">
        <v>1120</v>
      </c>
      <c r="X61" s="22" t="s">
        <v>1642</v>
      </c>
      <c r="Y61" s="22" t="s">
        <v>1643</v>
      </c>
      <c r="Z61" s="22" t="s">
        <v>1644</v>
      </c>
      <c r="AA61" s="22" t="s">
        <v>1645</v>
      </c>
      <c r="AB61" s="22" t="s">
        <v>1646</v>
      </c>
      <c r="AC61" s="22" t="s">
        <v>1391</v>
      </c>
      <c r="AD61" s="194" t="s">
        <v>1647</v>
      </c>
      <c r="AE61" s="194" t="s">
        <v>1648</v>
      </c>
    </row>
    <row r="62" spans="1:31" ht="63.75" customHeight="1" x14ac:dyDescent="0.25">
      <c r="A62" s="190">
        <v>63</v>
      </c>
      <c r="B62" s="190">
        <f>COUNTIF(C61:C164,C62)</f>
        <v>1</v>
      </c>
      <c r="C62" s="194" t="s">
        <v>730</v>
      </c>
      <c r="D62" s="22" t="s">
        <v>731</v>
      </c>
      <c r="E62" s="22">
        <v>2019</v>
      </c>
      <c r="G62" s="22" t="s">
        <v>2008</v>
      </c>
      <c r="H62" s="22" t="s">
        <v>2009</v>
      </c>
      <c r="I62" s="22" t="s">
        <v>2010</v>
      </c>
      <c r="J62" s="22" t="s">
        <v>2011</v>
      </c>
      <c r="K62" s="22" t="s">
        <v>2012</v>
      </c>
      <c r="L62" s="22" t="s">
        <v>2013</v>
      </c>
      <c r="M62" s="22" t="s">
        <v>2014</v>
      </c>
      <c r="N62" s="22" t="s">
        <v>2015</v>
      </c>
      <c r="O62" s="22" t="s">
        <v>2016</v>
      </c>
      <c r="P62" s="22" t="s">
        <v>1982</v>
      </c>
      <c r="Q62" s="22" t="s">
        <v>931</v>
      </c>
      <c r="R62" s="22" t="s">
        <v>931</v>
      </c>
      <c r="S62" s="22" t="s">
        <v>1582</v>
      </c>
      <c r="T62" s="22" t="s">
        <v>2017</v>
      </c>
      <c r="U62" s="22" t="s">
        <v>2018</v>
      </c>
      <c r="V62" s="22" t="s">
        <v>2019</v>
      </c>
      <c r="W62" s="22" t="s">
        <v>931</v>
      </c>
      <c r="X62" s="22" t="s">
        <v>2020</v>
      </c>
      <c r="Y62" s="22" t="s">
        <v>2021</v>
      </c>
      <c r="Z62" s="22" t="s">
        <v>2022</v>
      </c>
      <c r="AA62" s="22" t="s">
        <v>2023</v>
      </c>
      <c r="AB62" s="22" t="s">
        <v>2024</v>
      </c>
      <c r="AC62" s="22" t="s">
        <v>931</v>
      </c>
      <c r="AD62" s="194" t="s">
        <v>2025</v>
      </c>
      <c r="AE62" s="194" t="s">
        <v>2026</v>
      </c>
    </row>
    <row r="63" spans="1:31" ht="63.75" customHeight="1" x14ac:dyDescent="0.25">
      <c r="A63" s="190">
        <v>64</v>
      </c>
      <c r="B63" s="190">
        <f>COUNTIF(C62:C165,C63)</f>
        <v>1</v>
      </c>
      <c r="C63" s="194" t="s">
        <v>2187</v>
      </c>
      <c r="D63" s="22" t="s">
        <v>732</v>
      </c>
      <c r="E63" s="22">
        <v>2019</v>
      </c>
      <c r="G63" s="22" t="s">
        <v>2188</v>
      </c>
      <c r="H63" s="22" t="s">
        <v>2189</v>
      </c>
      <c r="I63" s="22" t="s">
        <v>2190</v>
      </c>
      <c r="J63" s="22" t="s">
        <v>2191</v>
      </c>
      <c r="K63" s="22" t="s">
        <v>2192</v>
      </c>
      <c r="L63" s="22" t="s">
        <v>2193</v>
      </c>
      <c r="M63" s="22" t="s">
        <v>943</v>
      </c>
      <c r="N63" s="22" t="s">
        <v>2194</v>
      </c>
      <c r="O63" s="22" t="s">
        <v>2195</v>
      </c>
      <c r="P63" s="22" t="s">
        <v>2196</v>
      </c>
      <c r="Q63" s="22" t="s">
        <v>931</v>
      </c>
      <c r="R63" s="22" t="s">
        <v>931</v>
      </c>
      <c r="S63" s="22">
        <v>4</v>
      </c>
      <c r="T63" s="22" t="s">
        <v>2197</v>
      </c>
      <c r="U63" s="22" t="s">
        <v>2198</v>
      </c>
      <c r="V63" s="22" t="s">
        <v>2199</v>
      </c>
      <c r="W63" s="22" t="s">
        <v>866</v>
      </c>
      <c r="X63" s="22" t="s">
        <v>2200</v>
      </c>
      <c r="Y63" s="22" t="s">
        <v>866</v>
      </c>
      <c r="Z63" s="22" t="s">
        <v>2201</v>
      </c>
      <c r="AA63" s="22" t="s">
        <v>2202</v>
      </c>
      <c r="AB63" s="22" t="s">
        <v>2203</v>
      </c>
      <c r="AC63" s="22" t="s">
        <v>2204</v>
      </c>
      <c r="AD63" s="194" t="s">
        <v>2205</v>
      </c>
      <c r="AE63" s="194" t="s">
        <v>2206</v>
      </c>
    </row>
    <row r="64" spans="1:31" ht="63.75" customHeight="1" x14ac:dyDescent="0.25">
      <c r="A64" s="190">
        <v>65</v>
      </c>
      <c r="B64" s="190">
        <f>COUNTIF(C63:C166,C64)</f>
        <v>1</v>
      </c>
      <c r="C64" s="194" t="s">
        <v>733</v>
      </c>
      <c r="D64" s="22" t="s">
        <v>734</v>
      </c>
      <c r="E64" s="22">
        <v>2021</v>
      </c>
    </row>
    <row r="65" spans="1:31" ht="63.75" customHeight="1" x14ac:dyDescent="0.25">
      <c r="A65" s="190">
        <v>66</v>
      </c>
      <c r="B65" s="190">
        <f>COUNTIF(C64:C167,C65)</f>
        <v>1</v>
      </c>
      <c r="C65" s="194" t="s">
        <v>735</v>
      </c>
      <c r="D65" s="22" t="s">
        <v>736</v>
      </c>
      <c r="E65" s="22">
        <v>2024</v>
      </c>
      <c r="G65" s="22" t="s">
        <v>1834</v>
      </c>
      <c r="H65" s="22" t="s">
        <v>931</v>
      </c>
      <c r="I65" s="22" t="s">
        <v>1835</v>
      </c>
      <c r="J65" s="22" t="s">
        <v>1836</v>
      </c>
      <c r="K65" s="22" t="s">
        <v>1837</v>
      </c>
      <c r="L65" s="22" t="s">
        <v>1527</v>
      </c>
      <c r="M65" s="22" t="s">
        <v>1821</v>
      </c>
      <c r="N65" s="22" t="s">
        <v>1838</v>
      </c>
      <c r="O65" s="22" t="s">
        <v>1839</v>
      </c>
      <c r="P65" s="22" t="s">
        <v>1840</v>
      </c>
      <c r="Q65" s="22" t="s">
        <v>1841</v>
      </c>
      <c r="R65" s="22" t="s">
        <v>931</v>
      </c>
      <c r="S65" s="22">
        <v>6</v>
      </c>
      <c r="T65" s="22" t="s">
        <v>1842</v>
      </c>
      <c r="U65" s="22" t="s">
        <v>1843</v>
      </c>
      <c r="V65" s="22" t="s">
        <v>1844</v>
      </c>
      <c r="W65" s="22" t="s">
        <v>931</v>
      </c>
      <c r="X65" s="22" t="s">
        <v>1845</v>
      </c>
      <c r="Y65" s="22" t="s">
        <v>1846</v>
      </c>
      <c r="Z65" s="22" t="s">
        <v>931</v>
      </c>
      <c r="AA65" s="22" t="s">
        <v>1847</v>
      </c>
      <c r="AB65" s="22" t="s">
        <v>931</v>
      </c>
      <c r="AC65" s="22" t="s">
        <v>931</v>
      </c>
      <c r="AD65" s="194" t="s">
        <v>1848</v>
      </c>
      <c r="AE65" s="194" t="s">
        <v>1849</v>
      </c>
    </row>
    <row r="66" spans="1:31" ht="63.75" customHeight="1" x14ac:dyDescent="0.25">
      <c r="A66" s="190">
        <v>67</v>
      </c>
      <c r="B66" s="190">
        <f>COUNTIF(C65:C168,C66)</f>
        <v>1</v>
      </c>
      <c r="C66" s="194" t="s">
        <v>737</v>
      </c>
      <c r="D66" s="22" t="s">
        <v>732</v>
      </c>
      <c r="E66" s="22">
        <v>2024</v>
      </c>
    </row>
    <row r="67" spans="1:31" ht="63.75" customHeight="1" thickBot="1" x14ac:dyDescent="0.3">
      <c r="A67" s="190">
        <v>68</v>
      </c>
      <c r="B67" s="190">
        <f>COUNTIF(C66:C169,C67)</f>
        <v>1</v>
      </c>
      <c r="C67" s="194" t="s">
        <v>738</v>
      </c>
      <c r="D67" s="22" t="s">
        <v>739</v>
      </c>
      <c r="E67" s="22">
        <v>2023</v>
      </c>
      <c r="G67" s="22" t="s">
        <v>1110</v>
      </c>
      <c r="H67" s="22" t="s">
        <v>931</v>
      </c>
      <c r="I67" s="22" t="s">
        <v>1994</v>
      </c>
      <c r="J67" s="22" t="s">
        <v>1995</v>
      </c>
      <c r="K67" s="22">
        <v>1</v>
      </c>
      <c r="L67" s="22" t="s">
        <v>1996</v>
      </c>
      <c r="M67" s="22" t="s">
        <v>1997</v>
      </c>
      <c r="N67" s="22" t="s">
        <v>1998</v>
      </c>
      <c r="O67" s="22" t="s">
        <v>1999</v>
      </c>
      <c r="P67" s="22" t="s">
        <v>931</v>
      </c>
      <c r="Q67" s="22" t="s">
        <v>1120</v>
      </c>
      <c r="R67" s="22" t="s">
        <v>1120</v>
      </c>
      <c r="S67" s="22" t="s">
        <v>2000</v>
      </c>
      <c r="T67" s="22" t="s">
        <v>2001</v>
      </c>
      <c r="U67" s="22" t="s">
        <v>931</v>
      </c>
      <c r="V67" s="22" t="s">
        <v>2002</v>
      </c>
      <c r="W67" s="22" t="s">
        <v>2003</v>
      </c>
      <c r="X67" s="22" t="s">
        <v>2004</v>
      </c>
      <c r="Y67" s="22" t="s">
        <v>2005</v>
      </c>
      <c r="Z67" s="22" t="s">
        <v>1313</v>
      </c>
      <c r="AA67" s="22" t="s">
        <v>2006</v>
      </c>
      <c r="AB67" s="22" t="s">
        <v>1313</v>
      </c>
      <c r="AC67" s="22" t="s">
        <v>1313</v>
      </c>
      <c r="AD67" s="199" t="s">
        <v>2007</v>
      </c>
      <c r="AE67" s="194" t="s">
        <v>931</v>
      </c>
    </row>
    <row r="68" spans="1:31" ht="63.75" customHeight="1" x14ac:dyDescent="0.25">
      <c r="A68" s="190">
        <v>69</v>
      </c>
      <c r="B68" s="190">
        <f t="shared" ref="B68:B112" si="0">COUNTIF(C67:C170,C68)</f>
        <v>1</v>
      </c>
      <c r="C68" s="194" t="s">
        <v>740</v>
      </c>
      <c r="D68" s="22" t="s">
        <v>741</v>
      </c>
      <c r="E68" s="22">
        <v>2020</v>
      </c>
      <c r="G68" s="22" t="s">
        <v>1974</v>
      </c>
      <c r="H68" s="22" t="s">
        <v>1975</v>
      </c>
      <c r="I68" s="22" t="s">
        <v>1976</v>
      </c>
      <c r="J68" s="22" t="s">
        <v>1977</v>
      </c>
      <c r="K68" s="22" t="s">
        <v>1978</v>
      </c>
      <c r="L68" s="22" t="s">
        <v>1202</v>
      </c>
      <c r="M68" s="22" t="s">
        <v>1979</v>
      </c>
      <c r="N68" s="198" t="s">
        <v>1980</v>
      </c>
      <c r="O68" s="22" t="s">
        <v>1981</v>
      </c>
      <c r="P68" s="22" t="s">
        <v>1982</v>
      </c>
      <c r="Q68" s="22" t="s">
        <v>931</v>
      </c>
      <c r="R68" s="22" t="s">
        <v>931</v>
      </c>
      <c r="S68" s="22" t="s">
        <v>1983</v>
      </c>
      <c r="T68" s="22" t="s">
        <v>1984</v>
      </c>
      <c r="U68" s="22" t="s">
        <v>1985</v>
      </c>
      <c r="V68" s="22" t="s">
        <v>1986</v>
      </c>
      <c r="W68" s="22" t="s">
        <v>1987</v>
      </c>
      <c r="X68" s="22" t="s">
        <v>1988</v>
      </c>
      <c r="Y68" s="22" t="s">
        <v>931</v>
      </c>
      <c r="Z68" s="22" t="s">
        <v>1970</v>
      </c>
      <c r="AA68" s="22" t="s">
        <v>1989</v>
      </c>
      <c r="AB68" s="22" t="s">
        <v>1990</v>
      </c>
      <c r="AC68" s="22" t="s">
        <v>1991</v>
      </c>
      <c r="AD68" s="194" t="s">
        <v>1992</v>
      </c>
      <c r="AE68" s="194" t="s">
        <v>1993</v>
      </c>
    </row>
    <row r="69" spans="1:31" s="196" customFormat="1" ht="63.75" customHeight="1" x14ac:dyDescent="0.25">
      <c r="A69" s="193">
        <v>70</v>
      </c>
      <c r="B69" s="193">
        <f t="shared" si="0"/>
        <v>1</v>
      </c>
      <c r="C69" s="196" t="s">
        <v>742</v>
      </c>
      <c r="D69" s="130" t="s">
        <v>743</v>
      </c>
      <c r="E69" s="130">
        <v>2024</v>
      </c>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row>
    <row r="70" spans="1:31" s="196" customFormat="1" ht="63.75" customHeight="1" x14ac:dyDescent="0.25">
      <c r="A70" s="193">
        <v>71</v>
      </c>
      <c r="B70" s="193">
        <f t="shared" si="0"/>
        <v>1</v>
      </c>
      <c r="C70" s="196" t="s">
        <v>744</v>
      </c>
      <c r="D70" s="130" t="s">
        <v>745</v>
      </c>
      <c r="E70" s="130">
        <v>2016</v>
      </c>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row>
    <row r="71" spans="1:31" ht="63.75" customHeight="1" x14ac:dyDescent="0.25">
      <c r="A71" s="190">
        <v>72</v>
      </c>
      <c r="B71" s="190">
        <f t="shared" si="0"/>
        <v>1</v>
      </c>
      <c r="C71" s="194" t="s">
        <v>746</v>
      </c>
      <c r="D71" s="22" t="s">
        <v>747</v>
      </c>
      <c r="E71" s="22">
        <v>2015</v>
      </c>
      <c r="G71" s="22" t="s">
        <v>1869</v>
      </c>
      <c r="H71" s="22" t="s">
        <v>1870</v>
      </c>
      <c r="I71" s="22" t="s">
        <v>1871</v>
      </c>
      <c r="J71" s="22" t="s">
        <v>1872</v>
      </c>
      <c r="K71" s="22" t="s">
        <v>1873</v>
      </c>
      <c r="L71" s="22" t="s">
        <v>1874</v>
      </c>
      <c r="M71" s="22" t="s">
        <v>1875</v>
      </c>
      <c r="N71" s="22" t="s">
        <v>1876</v>
      </c>
      <c r="O71" s="22" t="s">
        <v>1877</v>
      </c>
      <c r="P71" s="22" t="s">
        <v>1878</v>
      </c>
      <c r="Q71" s="22" t="s">
        <v>1879</v>
      </c>
      <c r="R71" s="22" t="s">
        <v>1880</v>
      </c>
      <c r="S71" s="22" t="s">
        <v>1881</v>
      </c>
      <c r="T71" s="22" t="s">
        <v>1882</v>
      </c>
      <c r="U71" s="22" t="s">
        <v>1883</v>
      </c>
      <c r="V71" s="22" t="s">
        <v>1884</v>
      </c>
      <c r="W71" s="22" t="s">
        <v>1105</v>
      </c>
      <c r="X71" s="22" t="s">
        <v>1885</v>
      </c>
      <c r="Y71" s="22" t="s">
        <v>1886</v>
      </c>
      <c r="Z71" s="22" t="s">
        <v>1105</v>
      </c>
      <c r="AA71" s="22" t="s">
        <v>1887</v>
      </c>
      <c r="AB71" s="22" t="s">
        <v>1105</v>
      </c>
      <c r="AC71" s="22" t="s">
        <v>1105</v>
      </c>
      <c r="AD71" s="194" t="s">
        <v>1888</v>
      </c>
      <c r="AE71" s="194" t="s">
        <v>1889</v>
      </c>
    </row>
    <row r="72" spans="1:31" ht="63.75" customHeight="1" x14ac:dyDescent="0.25">
      <c r="A72" s="190">
        <v>73</v>
      </c>
      <c r="B72" s="190">
        <f t="shared" si="0"/>
        <v>1</v>
      </c>
      <c r="C72" s="194" t="s">
        <v>748</v>
      </c>
      <c r="D72" s="22" t="s">
        <v>749</v>
      </c>
      <c r="E72" s="22">
        <v>2022</v>
      </c>
      <c r="G72" s="22" t="s">
        <v>1649</v>
      </c>
      <c r="H72" s="22" t="s">
        <v>1650</v>
      </c>
      <c r="I72" s="22" t="s">
        <v>1651</v>
      </c>
      <c r="J72" s="22" t="s">
        <v>1652</v>
      </c>
      <c r="K72" s="22" t="s">
        <v>1653</v>
      </c>
      <c r="L72" s="22" t="s">
        <v>1654</v>
      </c>
      <c r="M72" s="22" t="s">
        <v>1655</v>
      </c>
      <c r="N72" s="22" t="s">
        <v>1656</v>
      </c>
      <c r="O72" s="22" t="s">
        <v>1657</v>
      </c>
      <c r="P72" s="22" t="s">
        <v>1658</v>
      </c>
      <c r="Q72" s="22" t="s">
        <v>1659</v>
      </c>
      <c r="R72" s="22" t="s">
        <v>1660</v>
      </c>
      <c r="S72" s="22" t="s">
        <v>1661</v>
      </c>
      <c r="T72" s="22" t="s">
        <v>1662</v>
      </c>
      <c r="U72" s="22" t="s">
        <v>1663</v>
      </c>
      <c r="V72" s="22" t="s">
        <v>1664</v>
      </c>
      <c r="W72" s="22" t="s">
        <v>1665</v>
      </c>
      <c r="X72" s="22" t="s">
        <v>1666</v>
      </c>
      <c r="Y72" s="22" t="s">
        <v>1667</v>
      </c>
      <c r="Z72" s="22" t="s">
        <v>1105</v>
      </c>
      <c r="AA72" s="22" t="s">
        <v>1668</v>
      </c>
      <c r="AB72" s="22" t="s">
        <v>931</v>
      </c>
      <c r="AC72" s="22" t="s">
        <v>1669</v>
      </c>
      <c r="AD72" s="194" t="s">
        <v>1670</v>
      </c>
      <c r="AE72" s="194" t="s">
        <v>1671</v>
      </c>
    </row>
    <row r="73" spans="1:31" s="196" customFormat="1" ht="63.75" customHeight="1" x14ac:dyDescent="0.25">
      <c r="A73" s="193">
        <v>74</v>
      </c>
      <c r="B73" s="193">
        <f t="shared" si="0"/>
        <v>1</v>
      </c>
      <c r="C73" s="196" t="s">
        <v>750</v>
      </c>
      <c r="D73" s="130" t="s">
        <v>751</v>
      </c>
      <c r="E73" s="130">
        <v>2019</v>
      </c>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row>
    <row r="74" spans="1:31" ht="63.75" customHeight="1" x14ac:dyDescent="0.25">
      <c r="A74" s="190">
        <v>75</v>
      </c>
      <c r="B74" s="190">
        <f t="shared" si="0"/>
        <v>1</v>
      </c>
      <c r="C74" s="194" t="s">
        <v>752</v>
      </c>
      <c r="D74" s="22" t="s">
        <v>753</v>
      </c>
      <c r="E74" s="22">
        <v>2022</v>
      </c>
      <c r="G74" s="22" t="s">
        <v>1672</v>
      </c>
      <c r="H74" s="22" t="s">
        <v>1673</v>
      </c>
      <c r="I74" s="22" t="s">
        <v>1674</v>
      </c>
      <c r="J74" s="22" t="s">
        <v>1675</v>
      </c>
      <c r="K74" s="22" t="s">
        <v>1676</v>
      </c>
      <c r="L74" s="22" t="s">
        <v>1677</v>
      </c>
      <c r="M74" s="22" t="s">
        <v>1678</v>
      </c>
      <c r="N74" s="22" t="s">
        <v>1679</v>
      </c>
      <c r="O74" s="22" t="s">
        <v>1680</v>
      </c>
      <c r="P74" s="22" t="s">
        <v>1681</v>
      </c>
      <c r="Q74" s="22" t="s">
        <v>1682</v>
      </c>
      <c r="R74" s="22" t="s">
        <v>1683</v>
      </c>
      <c r="S74" s="22" t="s">
        <v>1684</v>
      </c>
      <c r="T74" s="22" t="s">
        <v>1685</v>
      </c>
      <c r="U74" s="22" t="s">
        <v>1686</v>
      </c>
      <c r="V74" s="22" t="s">
        <v>1687</v>
      </c>
      <c r="W74" s="22" t="s">
        <v>1688</v>
      </c>
      <c r="X74" s="22" t="s">
        <v>1689</v>
      </c>
      <c r="Y74" s="22" t="s">
        <v>1690</v>
      </c>
      <c r="Z74" s="22" t="s">
        <v>1105</v>
      </c>
      <c r="AA74" s="22" t="s">
        <v>1691</v>
      </c>
      <c r="AB74" s="22" t="s">
        <v>1105</v>
      </c>
      <c r="AC74" s="22" t="s">
        <v>1105</v>
      </c>
      <c r="AD74" s="194" t="s">
        <v>1692</v>
      </c>
      <c r="AE74" s="194" t="s">
        <v>1693</v>
      </c>
    </row>
    <row r="75" spans="1:31" ht="63.75" customHeight="1" x14ac:dyDescent="0.25">
      <c r="A75" s="190">
        <v>76</v>
      </c>
      <c r="B75" s="190">
        <f t="shared" si="0"/>
        <v>1</v>
      </c>
      <c r="C75" s="194" t="s">
        <v>754</v>
      </c>
      <c r="D75" s="22" t="s">
        <v>755</v>
      </c>
      <c r="E75" s="22">
        <v>2024</v>
      </c>
      <c r="G75" s="22" t="s">
        <v>1850</v>
      </c>
      <c r="H75" s="22" t="s">
        <v>1851</v>
      </c>
      <c r="I75" s="22" t="s">
        <v>1852</v>
      </c>
      <c r="J75" s="22" t="s">
        <v>1853</v>
      </c>
      <c r="K75" s="22" t="s">
        <v>1854</v>
      </c>
      <c r="L75" s="22" t="s">
        <v>1855</v>
      </c>
      <c r="M75" s="22" t="s">
        <v>1856</v>
      </c>
      <c r="N75" s="22" t="s">
        <v>1857</v>
      </c>
      <c r="O75" s="22" t="s">
        <v>1858</v>
      </c>
      <c r="P75" s="22" t="s">
        <v>1859</v>
      </c>
      <c r="Q75" s="22" t="s">
        <v>1105</v>
      </c>
      <c r="R75" s="22" t="s">
        <v>1105</v>
      </c>
      <c r="S75" s="22" t="s">
        <v>1860</v>
      </c>
      <c r="T75" s="22" t="s">
        <v>1861</v>
      </c>
      <c r="U75" s="22" t="s">
        <v>1862</v>
      </c>
      <c r="V75" s="22" t="s">
        <v>1863</v>
      </c>
      <c r="W75" s="22" t="s">
        <v>1864</v>
      </c>
      <c r="X75" s="22" t="s">
        <v>1865</v>
      </c>
      <c r="Y75" s="22" t="s">
        <v>1105</v>
      </c>
      <c r="Z75" s="22" t="s">
        <v>1105</v>
      </c>
      <c r="AA75" s="22" t="s">
        <v>1866</v>
      </c>
      <c r="AB75" s="22" t="s">
        <v>1105</v>
      </c>
      <c r="AC75" s="22" t="s">
        <v>1105</v>
      </c>
      <c r="AD75" s="194" t="s">
        <v>1867</v>
      </c>
      <c r="AE75" s="194" t="s">
        <v>1868</v>
      </c>
    </row>
    <row r="76" spans="1:31" ht="63.75" customHeight="1" x14ac:dyDescent="0.25">
      <c r="A76" s="190">
        <v>77</v>
      </c>
      <c r="B76" s="190">
        <f t="shared" si="0"/>
        <v>1</v>
      </c>
      <c r="C76" s="194" t="s">
        <v>756</v>
      </c>
      <c r="D76" s="22" t="s">
        <v>757</v>
      </c>
      <c r="E76" s="22">
        <v>2022</v>
      </c>
      <c r="G76" s="22" t="s">
        <v>2166</v>
      </c>
      <c r="H76" s="22" t="s">
        <v>2167</v>
      </c>
      <c r="I76" s="22" t="s">
        <v>2168</v>
      </c>
      <c r="J76" s="22" t="s">
        <v>2169</v>
      </c>
      <c r="K76" s="22" t="s">
        <v>2170</v>
      </c>
      <c r="L76" s="22" t="s">
        <v>2171</v>
      </c>
      <c r="M76" s="22" t="s">
        <v>2172</v>
      </c>
      <c r="N76" s="22" t="s">
        <v>2173</v>
      </c>
      <c r="O76" s="22" t="s">
        <v>2174</v>
      </c>
      <c r="P76" s="22" t="s">
        <v>2175</v>
      </c>
      <c r="Q76" s="22" t="s">
        <v>931</v>
      </c>
      <c r="R76" s="22" t="s">
        <v>2176</v>
      </c>
      <c r="S76" s="22">
        <v>5</v>
      </c>
      <c r="T76" s="22" t="s">
        <v>2177</v>
      </c>
      <c r="U76" s="22" t="s">
        <v>2178</v>
      </c>
      <c r="V76" s="22" t="s">
        <v>2179</v>
      </c>
      <c r="W76" s="22" t="s">
        <v>2180</v>
      </c>
      <c r="X76" s="22" t="s">
        <v>2181</v>
      </c>
      <c r="Y76" s="22" t="s">
        <v>2182</v>
      </c>
      <c r="Z76" s="22" t="s">
        <v>1313</v>
      </c>
      <c r="AA76" s="22" t="s">
        <v>2183</v>
      </c>
      <c r="AB76" s="22" t="s">
        <v>931</v>
      </c>
      <c r="AC76" s="22" t="s">
        <v>2184</v>
      </c>
      <c r="AD76" s="194" t="s">
        <v>2185</v>
      </c>
      <c r="AE76" s="194" t="s">
        <v>2186</v>
      </c>
    </row>
    <row r="77" spans="1:31" ht="63.75" customHeight="1" x14ac:dyDescent="0.25">
      <c r="A77" s="190">
        <v>78</v>
      </c>
      <c r="B77" s="190">
        <f t="shared" si="0"/>
        <v>1</v>
      </c>
      <c r="C77" s="194" t="s">
        <v>758</v>
      </c>
      <c r="D77" s="22" t="s">
        <v>759</v>
      </c>
      <c r="E77" s="22">
        <v>2024</v>
      </c>
      <c r="G77" s="22" t="s">
        <v>1694</v>
      </c>
      <c r="H77" s="22" t="s">
        <v>1695</v>
      </c>
      <c r="I77" s="22" t="s">
        <v>1696</v>
      </c>
      <c r="J77" s="22" t="s">
        <v>1697</v>
      </c>
      <c r="K77" s="22" t="s">
        <v>1698</v>
      </c>
      <c r="L77" s="22" t="s">
        <v>1699</v>
      </c>
      <c r="M77" s="22" t="s">
        <v>1700</v>
      </c>
      <c r="N77" s="22" t="s">
        <v>1701</v>
      </c>
      <c r="O77" s="22" t="s">
        <v>1702</v>
      </c>
      <c r="P77" s="22" t="s">
        <v>1703</v>
      </c>
      <c r="Q77" s="22" t="s">
        <v>1704</v>
      </c>
      <c r="R77" s="22" t="s">
        <v>1705</v>
      </c>
      <c r="S77" s="22" t="s">
        <v>1706</v>
      </c>
      <c r="T77" s="22" t="s">
        <v>1707</v>
      </c>
      <c r="U77" s="22" t="s">
        <v>1708</v>
      </c>
      <c r="V77" s="22" t="s">
        <v>1709</v>
      </c>
      <c r="W77" s="22" t="s">
        <v>1710</v>
      </c>
      <c r="X77" s="22" t="s">
        <v>1711</v>
      </c>
      <c r="Y77" s="22" t="s">
        <v>1712</v>
      </c>
      <c r="Z77" s="22" t="s">
        <v>1105</v>
      </c>
      <c r="AA77" s="22" t="s">
        <v>1713</v>
      </c>
      <c r="AB77" s="22" t="s">
        <v>1105</v>
      </c>
      <c r="AC77" s="22" t="s">
        <v>1714</v>
      </c>
      <c r="AD77" s="194" t="s">
        <v>1715</v>
      </c>
      <c r="AE77" s="194" t="s">
        <v>1716</v>
      </c>
    </row>
    <row r="78" spans="1:31" ht="63.75" customHeight="1" x14ac:dyDescent="0.25">
      <c r="A78" s="190">
        <v>79</v>
      </c>
      <c r="B78" s="190">
        <f t="shared" si="0"/>
        <v>1</v>
      </c>
      <c r="C78" s="194" t="s">
        <v>760</v>
      </c>
      <c r="D78" s="22" t="s">
        <v>761</v>
      </c>
      <c r="E78" s="22">
        <v>2019</v>
      </c>
    </row>
    <row r="79" spans="1:31" ht="63.75" customHeight="1" x14ac:dyDescent="0.25">
      <c r="A79" s="190">
        <v>80</v>
      </c>
      <c r="B79" s="190">
        <f t="shared" si="0"/>
        <v>1</v>
      </c>
      <c r="C79" s="194" t="s">
        <v>762</v>
      </c>
      <c r="D79" s="22" t="s">
        <v>763</v>
      </c>
      <c r="E79" s="22">
        <v>2017</v>
      </c>
    </row>
    <row r="80" spans="1:31" ht="63.75" customHeight="1" x14ac:dyDescent="0.3">
      <c r="A80" s="190">
        <v>81</v>
      </c>
      <c r="B80" s="190">
        <f t="shared" si="0"/>
        <v>1</v>
      </c>
      <c r="C80" s="194" t="s">
        <v>764</v>
      </c>
      <c r="D80" s="22" t="s">
        <v>765</v>
      </c>
      <c r="E80" s="22">
        <v>2021</v>
      </c>
      <c r="G80" s="22" t="s">
        <v>1717</v>
      </c>
      <c r="H80" s="22" t="s">
        <v>1718</v>
      </c>
      <c r="I80" s="22" t="s">
        <v>1719</v>
      </c>
      <c r="J80" s="22" t="s">
        <v>1720</v>
      </c>
      <c r="K80" s="22" t="s">
        <v>1721</v>
      </c>
      <c r="L80" s="22" t="s">
        <v>1722</v>
      </c>
      <c r="M80" s="22" t="s">
        <v>1723</v>
      </c>
      <c r="N80" s="197" t="s">
        <v>1724</v>
      </c>
      <c r="O80" s="22" t="s">
        <v>1725</v>
      </c>
      <c r="P80" s="22" t="s">
        <v>1726</v>
      </c>
      <c r="Q80" s="22" t="s">
        <v>1727</v>
      </c>
      <c r="R80" s="22" t="s">
        <v>1728</v>
      </c>
      <c r="S80" s="22" t="s">
        <v>1729</v>
      </c>
      <c r="T80" s="22" t="s">
        <v>1730</v>
      </c>
      <c r="U80" s="22" t="s">
        <v>1731</v>
      </c>
      <c r="V80" s="22" t="s">
        <v>1732</v>
      </c>
      <c r="W80" s="22" t="s">
        <v>1159</v>
      </c>
      <c r="X80" s="22" t="s">
        <v>1733</v>
      </c>
      <c r="Y80" s="22" t="s">
        <v>1734</v>
      </c>
      <c r="Z80" s="72">
        <v>0.97</v>
      </c>
      <c r="AA80" s="72">
        <v>0.97499999999999998</v>
      </c>
      <c r="AB80" s="72">
        <v>0.97299999999999998</v>
      </c>
      <c r="AC80" s="72">
        <v>0.97099999999999997</v>
      </c>
      <c r="AD80" s="194" t="s">
        <v>1735</v>
      </c>
      <c r="AE80" s="194" t="s">
        <v>1736</v>
      </c>
    </row>
    <row r="81" spans="1:31" ht="63.75" customHeight="1" x14ac:dyDescent="0.25">
      <c r="A81" s="190">
        <v>82</v>
      </c>
      <c r="B81" s="190">
        <f t="shared" si="0"/>
        <v>1</v>
      </c>
      <c r="C81" s="194" t="s">
        <v>766</v>
      </c>
      <c r="D81" s="22" t="s">
        <v>765</v>
      </c>
      <c r="E81" s="22">
        <v>2022</v>
      </c>
      <c r="G81" s="22" t="s">
        <v>1737</v>
      </c>
      <c r="H81" s="22" t="s">
        <v>1738</v>
      </c>
      <c r="I81" s="22" t="s">
        <v>1719</v>
      </c>
      <c r="J81" s="22" t="s">
        <v>1739</v>
      </c>
      <c r="K81" s="22" t="s">
        <v>1740</v>
      </c>
      <c r="L81" s="22" t="s">
        <v>1722</v>
      </c>
      <c r="M81" s="22" t="s">
        <v>1741</v>
      </c>
      <c r="N81" s="22" t="s">
        <v>1742</v>
      </c>
      <c r="O81" s="22" t="s">
        <v>1743</v>
      </c>
      <c r="P81" s="22" t="s">
        <v>1744</v>
      </c>
      <c r="Q81" s="22" t="s">
        <v>1745</v>
      </c>
      <c r="R81" s="22" t="s">
        <v>1728</v>
      </c>
      <c r="S81" s="22" t="s">
        <v>1746</v>
      </c>
      <c r="T81" s="22" t="s">
        <v>1730</v>
      </c>
      <c r="U81" s="22" t="s">
        <v>1747</v>
      </c>
      <c r="V81" s="22" t="s">
        <v>1748</v>
      </c>
      <c r="W81" s="22" t="s">
        <v>1159</v>
      </c>
      <c r="X81" s="22" t="s">
        <v>1749</v>
      </c>
      <c r="Y81" s="22" t="s">
        <v>1750</v>
      </c>
      <c r="AA81" s="72">
        <v>0.91500000000000004</v>
      </c>
      <c r="AC81" s="72">
        <v>0.92200000000000004</v>
      </c>
      <c r="AD81" s="194" t="s">
        <v>1751</v>
      </c>
      <c r="AE81" s="194" t="s">
        <v>1752</v>
      </c>
    </row>
    <row r="82" spans="1:31" ht="63.75" customHeight="1" x14ac:dyDescent="0.25">
      <c r="A82" s="190">
        <v>83</v>
      </c>
      <c r="B82" s="190">
        <f t="shared" si="0"/>
        <v>1</v>
      </c>
      <c r="C82" s="194" t="s">
        <v>767</v>
      </c>
      <c r="D82" s="22" t="s">
        <v>765</v>
      </c>
      <c r="E82" s="22">
        <v>2024</v>
      </c>
      <c r="G82" s="22" t="s">
        <v>1753</v>
      </c>
      <c r="H82" s="22" t="s">
        <v>1754</v>
      </c>
      <c r="I82" s="22" t="s">
        <v>1755</v>
      </c>
      <c r="J82" s="22" t="s">
        <v>1756</v>
      </c>
      <c r="K82" s="22" t="s">
        <v>1757</v>
      </c>
      <c r="L82" s="22" t="s">
        <v>1758</v>
      </c>
      <c r="M82" s="22" t="s">
        <v>1759</v>
      </c>
      <c r="N82" s="22" t="s">
        <v>1760</v>
      </c>
      <c r="O82" s="22" t="s">
        <v>1761</v>
      </c>
      <c r="P82" s="22" t="s">
        <v>1762</v>
      </c>
      <c r="Q82" s="22" t="s">
        <v>1763</v>
      </c>
      <c r="R82" s="22" t="s">
        <v>1763</v>
      </c>
      <c r="S82" s="22" t="s">
        <v>1764</v>
      </c>
      <c r="T82" s="22" t="s">
        <v>1765</v>
      </c>
      <c r="U82" s="22" t="s">
        <v>1766</v>
      </c>
      <c r="V82" s="22" t="s">
        <v>1767</v>
      </c>
      <c r="W82" s="22" t="s">
        <v>1159</v>
      </c>
      <c r="X82" s="22" t="s">
        <v>1768</v>
      </c>
      <c r="Y82" s="22" t="s">
        <v>1769</v>
      </c>
      <c r="Z82" s="22" t="s">
        <v>1770</v>
      </c>
      <c r="AA82" s="22" t="s">
        <v>1771</v>
      </c>
      <c r="AB82" s="22" t="s">
        <v>1772</v>
      </c>
      <c r="AC82" s="22" t="s">
        <v>1773</v>
      </c>
      <c r="AD82" s="194" t="s">
        <v>1774</v>
      </c>
      <c r="AE82" s="194" t="s">
        <v>1775</v>
      </c>
    </row>
    <row r="83" spans="1:31" ht="63.75" customHeight="1" x14ac:dyDescent="0.25">
      <c r="A83" s="190">
        <v>84</v>
      </c>
      <c r="B83" s="190">
        <f t="shared" si="0"/>
        <v>1</v>
      </c>
      <c r="C83" s="194" t="s">
        <v>768</v>
      </c>
      <c r="D83" s="22" t="s">
        <v>769</v>
      </c>
      <c r="E83" s="22">
        <v>2021</v>
      </c>
      <c r="G83" s="22" t="s">
        <v>1776</v>
      </c>
      <c r="H83" s="22" t="s">
        <v>1777</v>
      </c>
      <c r="I83" s="22" t="s">
        <v>1778</v>
      </c>
      <c r="J83" s="22" t="s">
        <v>1779</v>
      </c>
      <c r="K83" s="22" t="s">
        <v>1780</v>
      </c>
      <c r="L83" s="22" t="s">
        <v>1781</v>
      </c>
      <c r="M83" s="22" t="s">
        <v>1782</v>
      </c>
      <c r="N83" s="22" t="s">
        <v>1783</v>
      </c>
      <c r="O83" s="22" t="s">
        <v>1784</v>
      </c>
      <c r="P83" s="22" t="s">
        <v>1785</v>
      </c>
      <c r="Q83" s="22" t="s">
        <v>1786</v>
      </c>
      <c r="R83" s="22" t="s">
        <v>1787</v>
      </c>
      <c r="S83" s="22" t="s">
        <v>1788</v>
      </c>
      <c r="T83" s="22" t="s">
        <v>1789</v>
      </c>
      <c r="U83" s="22" t="s">
        <v>1790</v>
      </c>
      <c r="V83" s="22" t="s">
        <v>1791</v>
      </c>
      <c r="W83" s="22" t="s">
        <v>1792</v>
      </c>
      <c r="X83" s="22" t="s">
        <v>1793</v>
      </c>
      <c r="Y83" s="22" t="s">
        <v>1794</v>
      </c>
      <c r="Z83" s="22" t="s">
        <v>1795</v>
      </c>
      <c r="AA83" s="22" t="s">
        <v>1796</v>
      </c>
      <c r="AB83" s="22" t="s">
        <v>931</v>
      </c>
      <c r="AC83" s="198" t="s">
        <v>931</v>
      </c>
      <c r="AD83" s="194" t="s">
        <v>1797</v>
      </c>
      <c r="AE83" s="194" t="s">
        <v>1798</v>
      </c>
    </row>
    <row r="84" spans="1:31" ht="63.75" customHeight="1" x14ac:dyDescent="0.25">
      <c r="A84" s="190">
        <v>85</v>
      </c>
      <c r="B84" s="190">
        <f t="shared" si="0"/>
        <v>1</v>
      </c>
      <c r="C84" s="194" t="s">
        <v>770</v>
      </c>
      <c r="D84" s="22" t="s">
        <v>771</v>
      </c>
      <c r="E84" s="22">
        <v>2020</v>
      </c>
    </row>
    <row r="85" spans="1:31" ht="63.75" customHeight="1" x14ac:dyDescent="0.25">
      <c r="A85" s="190">
        <v>86</v>
      </c>
      <c r="B85" s="190">
        <f t="shared" si="0"/>
        <v>1</v>
      </c>
      <c r="C85" s="194" t="s">
        <v>772</v>
      </c>
      <c r="D85" s="22" t="s">
        <v>773</v>
      </c>
      <c r="E85" s="22">
        <v>2021</v>
      </c>
      <c r="G85" s="22" t="s">
        <v>2281</v>
      </c>
      <c r="H85" s="22" t="s">
        <v>2282</v>
      </c>
      <c r="I85" s="22" t="s">
        <v>2283</v>
      </c>
      <c r="J85" s="22" t="s">
        <v>2284</v>
      </c>
      <c r="K85" s="22" t="s">
        <v>2285</v>
      </c>
      <c r="L85" s="22" t="s">
        <v>2286</v>
      </c>
      <c r="M85" s="22" t="s">
        <v>2287</v>
      </c>
      <c r="N85" s="22" t="s">
        <v>2288</v>
      </c>
      <c r="O85" s="22" t="s">
        <v>2289</v>
      </c>
      <c r="P85" s="22" t="s">
        <v>2290</v>
      </c>
      <c r="Q85" s="22" t="s">
        <v>2291</v>
      </c>
      <c r="R85" s="22" t="s">
        <v>2292</v>
      </c>
      <c r="S85" s="22" t="s">
        <v>2293</v>
      </c>
      <c r="T85" s="22" t="s">
        <v>2294</v>
      </c>
      <c r="U85" s="22" t="s">
        <v>2295</v>
      </c>
      <c r="V85" s="22" t="s">
        <v>2296</v>
      </c>
      <c r="W85" s="22" t="s">
        <v>2297</v>
      </c>
      <c r="X85" s="22" t="s">
        <v>2298</v>
      </c>
      <c r="Y85" s="22" t="s">
        <v>2299</v>
      </c>
      <c r="Z85" s="22" t="s">
        <v>2301</v>
      </c>
      <c r="AA85" s="22" t="s">
        <v>2300</v>
      </c>
      <c r="AB85" s="22" t="s">
        <v>2301</v>
      </c>
      <c r="AC85" s="22" t="s">
        <v>2301</v>
      </c>
      <c r="AD85" s="194" t="s">
        <v>2302</v>
      </c>
      <c r="AE85" s="194" t="s">
        <v>2303</v>
      </c>
    </row>
    <row r="86" spans="1:31" ht="63.75" customHeight="1" x14ac:dyDescent="0.25">
      <c r="A86" s="190">
        <v>87</v>
      </c>
      <c r="B86" s="190">
        <f t="shared" si="0"/>
        <v>1</v>
      </c>
      <c r="C86" s="194" t="s">
        <v>774</v>
      </c>
      <c r="D86" s="22" t="s">
        <v>775</v>
      </c>
      <c r="E86" s="22">
        <v>2022</v>
      </c>
    </row>
    <row r="87" spans="1:31" s="196" customFormat="1" ht="63.75" customHeight="1" x14ac:dyDescent="0.25">
      <c r="A87" s="193">
        <v>88</v>
      </c>
      <c r="B87" s="193">
        <f t="shared" si="0"/>
        <v>1</v>
      </c>
      <c r="C87" s="196" t="s">
        <v>776</v>
      </c>
      <c r="D87" s="130" t="s">
        <v>773</v>
      </c>
      <c r="E87" s="130">
        <v>2022</v>
      </c>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row>
    <row r="88" spans="1:31" ht="63.75" customHeight="1" x14ac:dyDescent="0.25">
      <c r="A88" s="190">
        <v>89</v>
      </c>
      <c r="B88" s="190">
        <f t="shared" si="0"/>
        <v>1</v>
      </c>
      <c r="C88" s="194" t="s">
        <v>777</v>
      </c>
      <c r="D88" s="22" t="s">
        <v>778</v>
      </c>
      <c r="E88" s="22">
        <v>2023</v>
      </c>
      <c r="G88" s="22" t="s">
        <v>2247</v>
      </c>
      <c r="H88" s="22" t="s">
        <v>931</v>
      </c>
      <c r="I88" s="22" t="s">
        <v>2248</v>
      </c>
      <c r="J88" s="22" t="s">
        <v>579</v>
      </c>
      <c r="K88" s="22" t="s">
        <v>2249</v>
      </c>
      <c r="L88" s="22" t="s">
        <v>1120</v>
      </c>
      <c r="M88" s="22" t="s">
        <v>2250</v>
      </c>
      <c r="N88" s="22" t="s">
        <v>2251</v>
      </c>
      <c r="O88" s="22" t="s">
        <v>2252</v>
      </c>
      <c r="P88" s="22" t="s">
        <v>2253</v>
      </c>
      <c r="Q88" s="22" t="s">
        <v>2254</v>
      </c>
      <c r="R88" s="22" t="s">
        <v>2255</v>
      </c>
      <c r="S88" s="22" t="s">
        <v>2256</v>
      </c>
      <c r="T88" s="22" t="s">
        <v>2257</v>
      </c>
      <c r="U88" s="22" t="s">
        <v>931</v>
      </c>
      <c r="V88" s="22" t="s">
        <v>2258</v>
      </c>
      <c r="W88" s="22" t="s">
        <v>1120</v>
      </c>
      <c r="X88" s="22" t="s">
        <v>2259</v>
      </c>
      <c r="Y88" s="22" t="s">
        <v>2260</v>
      </c>
      <c r="Z88" s="22" t="s">
        <v>2261</v>
      </c>
      <c r="AA88" s="22" t="s">
        <v>2262</v>
      </c>
      <c r="AB88" s="22" t="s">
        <v>2263</v>
      </c>
      <c r="AC88" s="22" t="s">
        <v>2264</v>
      </c>
      <c r="AD88" s="194" t="s">
        <v>2265</v>
      </c>
      <c r="AE88" s="194" t="s">
        <v>2266</v>
      </c>
    </row>
    <row r="89" spans="1:31" ht="63.75" customHeight="1" x14ac:dyDescent="0.25">
      <c r="A89" s="190">
        <v>90</v>
      </c>
      <c r="B89" s="190">
        <f t="shared" si="0"/>
        <v>1</v>
      </c>
      <c r="C89" s="194" t="s">
        <v>779</v>
      </c>
      <c r="D89" s="22" t="s">
        <v>780</v>
      </c>
      <c r="E89" s="22">
        <v>2023</v>
      </c>
      <c r="G89" s="22" t="s">
        <v>2453</v>
      </c>
      <c r="H89" s="22" t="s">
        <v>2454</v>
      </c>
      <c r="I89" s="22" t="s">
        <v>2454</v>
      </c>
      <c r="J89" s="22" t="s">
        <v>2455</v>
      </c>
      <c r="K89" s="22" t="s">
        <v>2456</v>
      </c>
      <c r="L89" s="22" t="s">
        <v>2457</v>
      </c>
      <c r="M89" s="22" t="s">
        <v>2458</v>
      </c>
      <c r="N89" s="22" t="s">
        <v>2459</v>
      </c>
      <c r="O89" s="22" t="s">
        <v>2460</v>
      </c>
      <c r="P89" s="22" t="s">
        <v>2461</v>
      </c>
      <c r="Q89" s="22" t="s">
        <v>1120</v>
      </c>
      <c r="R89" s="22" t="s">
        <v>1120</v>
      </c>
      <c r="S89" s="22">
        <v>4</v>
      </c>
      <c r="T89" s="22" t="s">
        <v>1181</v>
      </c>
      <c r="U89" s="22" t="s">
        <v>866</v>
      </c>
      <c r="V89" s="22" t="s">
        <v>2462</v>
      </c>
      <c r="W89" s="22" t="s">
        <v>1120</v>
      </c>
      <c r="X89" s="22" t="s">
        <v>2463</v>
      </c>
      <c r="Y89" s="22" t="s">
        <v>2464</v>
      </c>
      <c r="Z89" s="22" t="s">
        <v>1391</v>
      </c>
      <c r="AA89" s="22" t="s">
        <v>2465</v>
      </c>
      <c r="AB89" s="22" t="s">
        <v>1391</v>
      </c>
      <c r="AC89" s="22" t="s">
        <v>1391</v>
      </c>
      <c r="AD89" s="194" t="s">
        <v>2466</v>
      </c>
      <c r="AE89" s="194" t="s">
        <v>2467</v>
      </c>
    </row>
    <row r="90" spans="1:31" s="196" customFormat="1" ht="63.75" customHeight="1" x14ac:dyDescent="0.25">
      <c r="A90" s="193">
        <v>91</v>
      </c>
      <c r="B90" s="193">
        <f t="shared" si="0"/>
        <v>1</v>
      </c>
      <c r="C90" s="196" t="s">
        <v>781</v>
      </c>
      <c r="D90" s="130" t="s">
        <v>782</v>
      </c>
      <c r="E90" s="130">
        <v>2022</v>
      </c>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row>
    <row r="91" spans="1:31" ht="63.75" customHeight="1" x14ac:dyDescent="0.25">
      <c r="A91" s="190">
        <v>92</v>
      </c>
      <c r="B91" s="190">
        <f t="shared" si="0"/>
        <v>1</v>
      </c>
      <c r="C91" s="194" t="s">
        <v>783</v>
      </c>
      <c r="D91" s="22" t="s">
        <v>784</v>
      </c>
      <c r="E91" s="22">
        <v>2024</v>
      </c>
      <c r="G91" s="22" t="s">
        <v>1799</v>
      </c>
      <c r="H91" s="22" t="s">
        <v>931</v>
      </c>
      <c r="I91" s="22" t="s">
        <v>931</v>
      </c>
      <c r="J91" s="22" t="s">
        <v>1800</v>
      </c>
      <c r="K91" s="22" t="s">
        <v>1801</v>
      </c>
      <c r="L91" s="22" t="s">
        <v>1802</v>
      </c>
      <c r="M91" s="22" t="s">
        <v>26</v>
      </c>
      <c r="N91" s="22" t="s">
        <v>1803</v>
      </c>
      <c r="O91" s="22" t="s">
        <v>1804</v>
      </c>
      <c r="P91" s="22" t="s">
        <v>1805</v>
      </c>
      <c r="Q91" s="22" t="s">
        <v>1806</v>
      </c>
      <c r="R91" s="22" t="s">
        <v>931</v>
      </c>
      <c r="S91" s="22">
        <v>4</v>
      </c>
      <c r="T91" s="22" t="s">
        <v>1807</v>
      </c>
      <c r="U91" s="22" t="s">
        <v>931</v>
      </c>
      <c r="V91" s="22" t="s">
        <v>1808</v>
      </c>
      <c r="W91" s="22" t="s">
        <v>1809</v>
      </c>
      <c r="X91" s="22" t="s">
        <v>1810</v>
      </c>
      <c r="Y91" s="22" t="s">
        <v>1811</v>
      </c>
      <c r="Z91" s="22" t="s">
        <v>1812</v>
      </c>
      <c r="AA91" s="22" t="s">
        <v>1813</v>
      </c>
      <c r="AB91" s="22" t="s">
        <v>1814</v>
      </c>
      <c r="AC91" s="22" t="s">
        <v>931</v>
      </c>
      <c r="AD91" s="194" t="s">
        <v>1815</v>
      </c>
      <c r="AE91" s="194" t="s">
        <v>1816</v>
      </c>
    </row>
    <row r="92" spans="1:31" ht="63.75" customHeight="1" x14ac:dyDescent="0.25">
      <c r="A92" s="190">
        <v>93</v>
      </c>
      <c r="B92" s="190">
        <f t="shared" si="0"/>
        <v>1</v>
      </c>
      <c r="C92" s="194" t="s">
        <v>785</v>
      </c>
      <c r="D92" s="22" t="s">
        <v>786</v>
      </c>
      <c r="E92" s="22">
        <v>2022</v>
      </c>
      <c r="G92" s="22" t="s">
        <v>2304</v>
      </c>
      <c r="H92" s="22" t="s">
        <v>1362</v>
      </c>
      <c r="I92" s="22" t="s">
        <v>931</v>
      </c>
      <c r="J92" s="22" t="s">
        <v>2305</v>
      </c>
      <c r="K92" s="22">
        <v>16</v>
      </c>
      <c r="L92" s="22" t="s">
        <v>2306</v>
      </c>
      <c r="M92" s="22" t="s">
        <v>2307</v>
      </c>
      <c r="N92" s="22" t="s">
        <v>2251</v>
      </c>
      <c r="O92" s="22" t="s">
        <v>2308</v>
      </c>
      <c r="P92" s="22" t="s">
        <v>2309</v>
      </c>
      <c r="Q92" s="22" t="s">
        <v>931</v>
      </c>
      <c r="R92" s="22" t="s">
        <v>931</v>
      </c>
      <c r="S92" s="22">
        <v>4</v>
      </c>
      <c r="T92" s="22" t="s">
        <v>2310</v>
      </c>
      <c r="U92" s="22" t="s">
        <v>2311</v>
      </c>
      <c r="V92" s="22" t="s">
        <v>2312</v>
      </c>
      <c r="W92" s="22" t="s">
        <v>931</v>
      </c>
      <c r="X92" s="22" t="s">
        <v>2313</v>
      </c>
      <c r="Y92" s="22" t="s">
        <v>931</v>
      </c>
      <c r="Z92" s="22" t="s">
        <v>931</v>
      </c>
      <c r="AA92" s="22" t="s">
        <v>2314</v>
      </c>
      <c r="AB92" s="22" t="s">
        <v>931</v>
      </c>
      <c r="AC92" s="22" t="s">
        <v>931</v>
      </c>
      <c r="AD92" s="194" t="s">
        <v>2315</v>
      </c>
      <c r="AE92" s="194" t="s">
        <v>2316</v>
      </c>
    </row>
    <row r="93" spans="1:31" s="202" customFormat="1" ht="63.75" customHeight="1" x14ac:dyDescent="0.25">
      <c r="A93" s="200">
        <v>94</v>
      </c>
      <c r="B93" s="200">
        <f t="shared" si="0"/>
        <v>1</v>
      </c>
      <c r="C93" s="202" t="s">
        <v>787</v>
      </c>
      <c r="D93" s="201" t="s">
        <v>788</v>
      </c>
      <c r="E93" s="201">
        <v>2024</v>
      </c>
      <c r="F93" s="201"/>
      <c r="G93" s="201" t="s">
        <v>2392</v>
      </c>
      <c r="H93" s="201" t="s">
        <v>2393</v>
      </c>
      <c r="I93" s="201" t="s">
        <v>2394</v>
      </c>
      <c r="J93" s="201" t="s">
        <v>2395</v>
      </c>
      <c r="K93" s="201" t="s">
        <v>2396</v>
      </c>
      <c r="L93" s="201" t="s">
        <v>2397</v>
      </c>
      <c r="M93" s="201" t="s">
        <v>2398</v>
      </c>
      <c r="N93" s="201" t="s">
        <v>2399</v>
      </c>
      <c r="O93" s="201" t="s">
        <v>2400</v>
      </c>
      <c r="P93" s="201" t="s">
        <v>2401</v>
      </c>
      <c r="Q93" s="201" t="s">
        <v>2402</v>
      </c>
      <c r="R93" s="201" t="s">
        <v>2403</v>
      </c>
      <c r="S93" s="201" t="s">
        <v>2404</v>
      </c>
      <c r="T93" s="201" t="s">
        <v>2405</v>
      </c>
      <c r="U93" s="201" t="s">
        <v>2406</v>
      </c>
      <c r="V93" s="201" t="s">
        <v>2407</v>
      </c>
      <c r="W93" s="201" t="s">
        <v>2408</v>
      </c>
      <c r="X93" s="201" t="s">
        <v>2409</v>
      </c>
      <c r="Y93" s="201" t="s">
        <v>2410</v>
      </c>
      <c r="Z93" s="201" t="s">
        <v>2411</v>
      </c>
      <c r="AA93" s="201" t="s">
        <v>2412</v>
      </c>
      <c r="AB93" s="201" t="s">
        <v>1105</v>
      </c>
      <c r="AC93" s="201" t="s">
        <v>2413</v>
      </c>
      <c r="AD93" s="202" t="s">
        <v>2414</v>
      </c>
      <c r="AE93" s="202" t="s">
        <v>2415</v>
      </c>
    </row>
    <row r="94" spans="1:31" ht="63.75" customHeight="1" x14ac:dyDescent="0.25">
      <c r="A94" s="190">
        <v>95</v>
      </c>
      <c r="B94" s="190">
        <f t="shared" si="0"/>
        <v>1</v>
      </c>
      <c r="C94" s="194" t="s">
        <v>789</v>
      </c>
      <c r="D94" s="22" t="s">
        <v>790</v>
      </c>
      <c r="E94" s="22">
        <v>2016</v>
      </c>
      <c r="G94" s="22" t="s">
        <v>2377</v>
      </c>
      <c r="H94" s="22" t="s">
        <v>2378</v>
      </c>
      <c r="I94" s="22" t="s">
        <v>931</v>
      </c>
      <c r="J94" s="22" t="s">
        <v>2379</v>
      </c>
      <c r="K94" s="22" t="s">
        <v>2380</v>
      </c>
      <c r="L94" s="22" t="s">
        <v>2381</v>
      </c>
      <c r="M94" s="22" t="s">
        <v>2307</v>
      </c>
      <c r="N94" s="22" t="s">
        <v>2382</v>
      </c>
      <c r="O94" s="22" t="s">
        <v>2383</v>
      </c>
      <c r="P94" s="22" t="s">
        <v>931</v>
      </c>
      <c r="Q94" s="22" t="s">
        <v>931</v>
      </c>
      <c r="R94" s="22" t="s">
        <v>931</v>
      </c>
      <c r="S94" s="22">
        <v>6</v>
      </c>
      <c r="T94" s="22" t="s">
        <v>2384</v>
      </c>
      <c r="U94" s="22" t="s">
        <v>931</v>
      </c>
      <c r="V94" s="22" t="s">
        <v>2385</v>
      </c>
      <c r="W94" s="22" t="s">
        <v>1313</v>
      </c>
      <c r="X94" s="22" t="s">
        <v>2386</v>
      </c>
      <c r="Y94" s="22" t="s">
        <v>931</v>
      </c>
      <c r="Z94" s="22" t="s">
        <v>2387</v>
      </c>
      <c r="AA94" s="22" t="s">
        <v>2388</v>
      </c>
      <c r="AB94" s="22" t="s">
        <v>2387</v>
      </c>
      <c r="AC94" s="22" t="s">
        <v>2389</v>
      </c>
      <c r="AD94" s="194" t="s">
        <v>2390</v>
      </c>
      <c r="AE94" s="194" t="s">
        <v>2391</v>
      </c>
    </row>
    <row r="95" spans="1:31" ht="63.75" customHeight="1" x14ac:dyDescent="0.25">
      <c r="A95" s="190">
        <v>96</v>
      </c>
      <c r="B95" s="190">
        <f t="shared" si="0"/>
        <v>1</v>
      </c>
      <c r="C95" s="194" t="s">
        <v>2207</v>
      </c>
      <c r="D95" s="22" t="s">
        <v>791</v>
      </c>
      <c r="E95" s="22">
        <v>2022</v>
      </c>
      <c r="G95" s="22" t="s">
        <v>2208</v>
      </c>
      <c r="H95" s="22" t="s">
        <v>2209</v>
      </c>
      <c r="I95" s="22" t="s">
        <v>2210</v>
      </c>
      <c r="J95" s="22" t="s">
        <v>2211</v>
      </c>
      <c r="K95" s="22" t="s">
        <v>2212</v>
      </c>
      <c r="L95" s="22" t="s">
        <v>2213</v>
      </c>
      <c r="M95" s="22" t="s">
        <v>2214</v>
      </c>
      <c r="N95" s="22" t="s">
        <v>2215</v>
      </c>
      <c r="O95" s="22" t="s">
        <v>2216</v>
      </c>
      <c r="P95" s="22" t="s">
        <v>2217</v>
      </c>
      <c r="Q95" s="22" t="s">
        <v>2218</v>
      </c>
      <c r="R95" s="22" t="s">
        <v>2219</v>
      </c>
      <c r="S95" s="22" t="s">
        <v>2220</v>
      </c>
      <c r="T95" s="22" t="s">
        <v>2221</v>
      </c>
      <c r="U95" s="22" t="s">
        <v>2222</v>
      </c>
      <c r="V95" s="22" t="s">
        <v>2223</v>
      </c>
      <c r="W95" s="22" t="s">
        <v>931</v>
      </c>
      <c r="X95" s="22" t="s">
        <v>2224</v>
      </c>
      <c r="Y95" s="22" t="s">
        <v>2225</v>
      </c>
      <c r="Z95" s="22" t="s">
        <v>2226</v>
      </c>
      <c r="AA95" s="22" t="s">
        <v>2227</v>
      </c>
      <c r="AB95" s="22" t="s">
        <v>2228</v>
      </c>
      <c r="AC95" s="22" t="s">
        <v>2228</v>
      </c>
      <c r="AD95" s="194" t="s">
        <v>2229</v>
      </c>
      <c r="AE95" s="157" t="s">
        <v>799</v>
      </c>
    </row>
    <row r="96" spans="1:31" ht="63.75" customHeight="1" x14ac:dyDescent="0.25">
      <c r="A96" s="190">
        <v>97</v>
      </c>
      <c r="B96" s="190">
        <f t="shared" si="0"/>
        <v>1</v>
      </c>
      <c r="C96" s="194" t="s">
        <v>792</v>
      </c>
      <c r="D96" s="22" t="s">
        <v>793</v>
      </c>
      <c r="E96" s="22">
        <v>2023</v>
      </c>
      <c r="G96" s="22" t="s">
        <v>2333</v>
      </c>
      <c r="H96" s="22" t="s">
        <v>2334</v>
      </c>
      <c r="I96" s="22" t="s">
        <v>2335</v>
      </c>
      <c r="J96" s="22" t="s">
        <v>2336</v>
      </c>
      <c r="K96" s="22" t="s">
        <v>2337</v>
      </c>
      <c r="L96" s="22" t="s">
        <v>2338</v>
      </c>
      <c r="M96" s="22" t="s">
        <v>2339</v>
      </c>
      <c r="N96" s="22" t="s">
        <v>2340</v>
      </c>
      <c r="O96" s="22" t="s">
        <v>2341</v>
      </c>
      <c r="P96" s="22" t="s">
        <v>2342</v>
      </c>
      <c r="Q96" s="22" t="s">
        <v>1159</v>
      </c>
      <c r="R96" s="22" t="s">
        <v>1159</v>
      </c>
      <c r="S96" s="22" t="s">
        <v>2343</v>
      </c>
      <c r="T96" s="22" t="s">
        <v>2344</v>
      </c>
      <c r="U96" s="22" t="s">
        <v>2345</v>
      </c>
      <c r="V96" s="22" t="s">
        <v>2346</v>
      </c>
      <c r="W96" s="22" t="s">
        <v>1159</v>
      </c>
      <c r="X96" s="22" t="s">
        <v>2347</v>
      </c>
      <c r="Y96" s="22" t="s">
        <v>2348</v>
      </c>
      <c r="Z96" s="22" t="s">
        <v>2349</v>
      </c>
      <c r="AA96" s="22" t="s">
        <v>2350</v>
      </c>
      <c r="AB96" s="22" t="s">
        <v>2351</v>
      </c>
      <c r="AC96" s="22" t="s">
        <v>2352</v>
      </c>
      <c r="AD96" s="194" t="s">
        <v>2353</v>
      </c>
      <c r="AE96" s="194" t="s">
        <v>2354</v>
      </c>
    </row>
    <row r="97" spans="1:31" ht="63.75" customHeight="1" x14ac:dyDescent="0.25">
      <c r="A97" s="190">
        <v>98</v>
      </c>
      <c r="B97" s="190">
        <f t="shared" si="0"/>
        <v>1</v>
      </c>
      <c r="C97" s="194" t="s">
        <v>794</v>
      </c>
      <c r="D97" s="22" t="s">
        <v>795</v>
      </c>
      <c r="E97" s="22">
        <v>2020</v>
      </c>
    </row>
    <row r="98" spans="1:31" ht="63.75" customHeight="1" x14ac:dyDescent="0.25">
      <c r="A98" s="190">
        <v>99</v>
      </c>
      <c r="B98" s="190">
        <f t="shared" si="0"/>
        <v>1</v>
      </c>
      <c r="C98" s="194" t="s">
        <v>796</v>
      </c>
      <c r="D98" s="22" t="s">
        <v>797</v>
      </c>
      <c r="E98" s="22">
        <v>2018</v>
      </c>
      <c r="G98" s="22" t="s">
        <v>2267</v>
      </c>
      <c r="H98" s="22" t="s">
        <v>931</v>
      </c>
      <c r="I98" s="22" t="s">
        <v>2268</v>
      </c>
      <c r="J98" s="22" t="s">
        <v>2269</v>
      </c>
      <c r="K98" s="22">
        <v>4</v>
      </c>
      <c r="L98" s="22" t="s">
        <v>1120</v>
      </c>
      <c r="M98" s="22" t="s">
        <v>2270</v>
      </c>
      <c r="N98" s="22" t="s">
        <v>2271</v>
      </c>
      <c r="O98" s="190" t="s">
        <v>2272</v>
      </c>
      <c r="P98" s="22" t="s">
        <v>2273</v>
      </c>
      <c r="Q98" s="22" t="s">
        <v>1120</v>
      </c>
      <c r="R98" s="22" t="s">
        <v>1120</v>
      </c>
      <c r="S98" s="22">
        <v>10</v>
      </c>
      <c r="T98" s="22" t="s">
        <v>2274</v>
      </c>
      <c r="U98" s="22" t="s">
        <v>931</v>
      </c>
      <c r="V98" s="22" t="s">
        <v>2275</v>
      </c>
      <c r="W98" s="22" t="s">
        <v>1140</v>
      </c>
      <c r="X98" s="22" t="s">
        <v>2276</v>
      </c>
      <c r="Y98" s="22" t="s">
        <v>2277</v>
      </c>
      <c r="Z98" s="22" t="s">
        <v>931</v>
      </c>
      <c r="AA98" s="22" t="s">
        <v>2278</v>
      </c>
      <c r="AB98" s="22" t="s">
        <v>931</v>
      </c>
      <c r="AC98" s="22" t="s">
        <v>931</v>
      </c>
      <c r="AD98" s="194" t="s">
        <v>2279</v>
      </c>
      <c r="AE98" s="194" t="s">
        <v>2280</v>
      </c>
    </row>
    <row r="99" spans="1:31" ht="63.75" customHeight="1" x14ac:dyDescent="0.25">
      <c r="A99" s="190">
        <v>100</v>
      </c>
      <c r="B99" s="190">
        <f t="shared" si="0"/>
        <v>1</v>
      </c>
      <c r="C99" s="194" t="s">
        <v>146</v>
      </c>
      <c r="D99" s="22" t="s">
        <v>798</v>
      </c>
      <c r="E99" s="22">
        <v>2022</v>
      </c>
      <c r="G99" s="22" t="s">
        <v>2416</v>
      </c>
      <c r="H99" s="22" t="s">
        <v>2417</v>
      </c>
      <c r="I99" s="22" t="s">
        <v>2418</v>
      </c>
      <c r="J99" s="22" t="s">
        <v>2419</v>
      </c>
      <c r="K99" s="22" t="s">
        <v>2420</v>
      </c>
      <c r="L99" s="22" t="s">
        <v>2421</v>
      </c>
      <c r="M99" s="22" t="s">
        <v>2422</v>
      </c>
      <c r="N99" s="22" t="s">
        <v>2423</v>
      </c>
      <c r="O99" s="22" t="s">
        <v>2424</v>
      </c>
      <c r="P99" s="22" t="s">
        <v>2425</v>
      </c>
      <c r="Q99" s="22" t="s">
        <v>931</v>
      </c>
      <c r="R99" s="22" t="s">
        <v>931</v>
      </c>
      <c r="S99" s="22">
        <v>10</v>
      </c>
      <c r="T99" s="22" t="s">
        <v>2426</v>
      </c>
      <c r="U99" s="22" t="s">
        <v>2427</v>
      </c>
      <c r="V99" s="22" t="s">
        <v>2428</v>
      </c>
      <c r="W99" s="22" t="s">
        <v>931</v>
      </c>
      <c r="X99" s="22" t="s">
        <v>2429</v>
      </c>
      <c r="Y99" s="22" t="s">
        <v>348</v>
      </c>
      <c r="Z99" s="22" t="s">
        <v>2430</v>
      </c>
      <c r="AA99" s="22" t="s">
        <v>2431</v>
      </c>
      <c r="AB99" s="22" t="s">
        <v>931</v>
      </c>
      <c r="AC99" s="22" t="s">
        <v>931</v>
      </c>
      <c r="AD99" s="194" t="s">
        <v>2432</v>
      </c>
      <c r="AE99" s="194" t="s">
        <v>2433</v>
      </c>
    </row>
    <row r="100" spans="1:31" ht="63.75" customHeight="1" x14ac:dyDescent="0.25">
      <c r="A100" s="190">
        <v>101</v>
      </c>
      <c r="B100" s="190">
        <f t="shared" si="0"/>
        <v>1</v>
      </c>
      <c r="C100" s="194" t="s">
        <v>799</v>
      </c>
      <c r="D100" s="22" t="s">
        <v>800</v>
      </c>
      <c r="E100" s="22">
        <v>2023</v>
      </c>
      <c r="G100" s="22" t="s">
        <v>2230</v>
      </c>
      <c r="H100" s="22" t="s">
        <v>2231</v>
      </c>
      <c r="I100" s="22" t="s">
        <v>2232</v>
      </c>
      <c r="J100" s="22" t="s">
        <v>2233</v>
      </c>
      <c r="K100" s="22" t="s">
        <v>2234</v>
      </c>
      <c r="L100" s="22" t="s">
        <v>2235</v>
      </c>
      <c r="M100" s="22" t="s">
        <v>2236</v>
      </c>
      <c r="N100" s="22" t="s">
        <v>2237</v>
      </c>
      <c r="O100" s="22" t="s">
        <v>2238</v>
      </c>
      <c r="P100" s="22" t="s">
        <v>2239</v>
      </c>
      <c r="Q100" s="22" t="s">
        <v>1120</v>
      </c>
      <c r="R100" s="22" t="s">
        <v>1120</v>
      </c>
      <c r="S100" s="22">
        <v>10</v>
      </c>
      <c r="T100" s="22" t="s">
        <v>2240</v>
      </c>
      <c r="U100" s="22" t="s">
        <v>2241</v>
      </c>
      <c r="V100" s="22" t="s">
        <v>2242</v>
      </c>
      <c r="W100" s="22" t="s">
        <v>1120</v>
      </c>
      <c r="X100" s="22" t="s">
        <v>2243</v>
      </c>
      <c r="Y100" s="22" t="s">
        <v>2244</v>
      </c>
      <c r="Z100" s="22">
        <v>0.997</v>
      </c>
      <c r="AA100" s="72">
        <v>0.99299999999999999</v>
      </c>
      <c r="AB100" s="22">
        <v>0.99099999999999999</v>
      </c>
      <c r="AC100" s="22" t="s">
        <v>1120</v>
      </c>
      <c r="AD100" s="194" t="s">
        <v>2245</v>
      </c>
      <c r="AE100" s="194" t="s">
        <v>2246</v>
      </c>
    </row>
    <row r="101" spans="1:31" ht="63.75" customHeight="1" x14ac:dyDescent="0.25">
      <c r="A101" s="190">
        <v>102</v>
      </c>
      <c r="B101" s="190">
        <f t="shared" si="0"/>
        <v>1</v>
      </c>
      <c r="C101" s="194" t="s">
        <v>801</v>
      </c>
      <c r="D101" s="22" t="s">
        <v>802</v>
      </c>
      <c r="E101" s="22">
        <v>2021</v>
      </c>
      <c r="G101" s="22" t="s">
        <v>1817</v>
      </c>
      <c r="H101" s="22" t="s">
        <v>931</v>
      </c>
      <c r="I101" s="22" t="s">
        <v>1818</v>
      </c>
      <c r="J101" s="22" t="s">
        <v>1819</v>
      </c>
      <c r="K101" s="22" t="s">
        <v>1820</v>
      </c>
      <c r="L101" s="22" t="s">
        <v>1527</v>
      </c>
      <c r="M101" s="22" t="s">
        <v>1821</v>
      </c>
      <c r="N101" s="22" t="s">
        <v>1822</v>
      </c>
      <c r="O101" s="22" t="s">
        <v>1823</v>
      </c>
      <c r="P101" s="22" t="s">
        <v>1824</v>
      </c>
      <c r="Q101" s="22" t="s">
        <v>1825</v>
      </c>
      <c r="R101" s="22" t="s">
        <v>931</v>
      </c>
      <c r="S101" s="22">
        <v>8</v>
      </c>
      <c r="T101" s="22" t="s">
        <v>1826</v>
      </c>
      <c r="U101" s="22" t="s">
        <v>1827</v>
      </c>
      <c r="V101" s="22" t="s">
        <v>1828</v>
      </c>
      <c r="W101" s="22" t="s">
        <v>931</v>
      </c>
      <c r="X101" s="22" t="s">
        <v>1829</v>
      </c>
      <c r="Y101" s="22" t="s">
        <v>1830</v>
      </c>
      <c r="Z101" s="22" t="s">
        <v>931</v>
      </c>
      <c r="AA101" s="22" t="s">
        <v>1831</v>
      </c>
      <c r="AB101" s="22" t="s">
        <v>931</v>
      </c>
      <c r="AC101" s="22" t="s">
        <v>931</v>
      </c>
      <c r="AD101" s="194" t="s">
        <v>1832</v>
      </c>
      <c r="AE101" s="194" t="s">
        <v>1833</v>
      </c>
    </row>
    <row r="102" spans="1:31" ht="63.75" customHeight="1" x14ac:dyDescent="0.25">
      <c r="A102" s="190">
        <v>103</v>
      </c>
      <c r="B102" s="190">
        <f t="shared" si="0"/>
        <v>1</v>
      </c>
      <c r="C102" s="194" t="s">
        <v>803</v>
      </c>
      <c r="D102" s="22" t="s">
        <v>804</v>
      </c>
      <c r="E102" s="22">
        <v>2024</v>
      </c>
      <c r="G102" s="22" t="s">
        <v>2317</v>
      </c>
      <c r="H102" s="22" t="s">
        <v>2318</v>
      </c>
      <c r="I102" s="22" t="s">
        <v>2319</v>
      </c>
      <c r="J102" s="22" t="s">
        <v>2320</v>
      </c>
      <c r="K102" s="22">
        <v>1</v>
      </c>
      <c r="L102" s="22" t="s">
        <v>1217</v>
      </c>
      <c r="M102" s="22" t="s">
        <v>2321</v>
      </c>
      <c r="N102" s="22" t="s">
        <v>2322</v>
      </c>
      <c r="O102" s="22" t="s">
        <v>2323</v>
      </c>
      <c r="P102" s="22" t="s">
        <v>931</v>
      </c>
      <c r="Q102" s="22" t="s">
        <v>931</v>
      </c>
      <c r="R102" s="22" t="s">
        <v>931</v>
      </c>
      <c r="S102" s="22">
        <v>5</v>
      </c>
      <c r="T102" s="22" t="s">
        <v>2324</v>
      </c>
      <c r="U102" s="22" t="s">
        <v>931</v>
      </c>
      <c r="V102" s="22" t="s">
        <v>2325</v>
      </c>
      <c r="W102" s="22" t="s">
        <v>931</v>
      </c>
      <c r="X102" s="22" t="s">
        <v>2326</v>
      </c>
      <c r="Y102" s="22" t="s">
        <v>931</v>
      </c>
      <c r="Z102" s="22" t="s">
        <v>2327</v>
      </c>
      <c r="AA102" s="22" t="s">
        <v>2328</v>
      </c>
      <c r="AB102" s="22" t="s">
        <v>2329</v>
      </c>
      <c r="AC102" s="22" t="s">
        <v>2330</v>
      </c>
      <c r="AD102" s="194" t="s">
        <v>2331</v>
      </c>
      <c r="AE102" s="194" t="s">
        <v>2332</v>
      </c>
    </row>
    <row r="103" spans="1:31" ht="63.75" customHeight="1" x14ac:dyDescent="0.25">
      <c r="A103" s="190">
        <v>104</v>
      </c>
      <c r="B103" s="190">
        <f t="shared" si="0"/>
        <v>1</v>
      </c>
      <c r="C103" s="194" t="s">
        <v>941</v>
      </c>
      <c r="D103" s="22" t="s">
        <v>942</v>
      </c>
      <c r="E103" s="22">
        <v>2018</v>
      </c>
      <c r="G103" s="22" t="s">
        <v>943</v>
      </c>
      <c r="H103" s="22" t="s">
        <v>944</v>
      </c>
      <c r="I103" s="22" t="s">
        <v>945</v>
      </c>
      <c r="J103" s="22" t="s">
        <v>946</v>
      </c>
      <c r="K103" s="22" t="s">
        <v>947</v>
      </c>
      <c r="L103" s="22" t="s">
        <v>948</v>
      </c>
      <c r="M103" s="22" t="s">
        <v>949</v>
      </c>
      <c r="N103" s="22" t="s">
        <v>950</v>
      </c>
      <c r="O103" s="22" t="s">
        <v>951</v>
      </c>
      <c r="P103" s="22" t="s">
        <v>952</v>
      </c>
      <c r="Q103" s="22" t="s">
        <v>953</v>
      </c>
      <c r="R103" s="22" t="s">
        <v>954</v>
      </c>
      <c r="S103" s="22">
        <v>5</v>
      </c>
      <c r="T103" s="22" t="s">
        <v>955</v>
      </c>
      <c r="U103" s="22" t="s">
        <v>956</v>
      </c>
      <c r="V103" s="22" t="s">
        <v>957</v>
      </c>
      <c r="W103" s="22" t="s">
        <v>958</v>
      </c>
      <c r="X103" s="22" t="s">
        <v>962</v>
      </c>
      <c r="Y103" s="22" t="s">
        <v>961</v>
      </c>
      <c r="Z103" s="22" t="s">
        <v>960</v>
      </c>
      <c r="AA103" s="22" t="s">
        <v>959</v>
      </c>
      <c r="AB103" s="22" t="s">
        <v>960</v>
      </c>
      <c r="AC103" s="22" t="s">
        <v>960</v>
      </c>
      <c r="AD103" s="194" t="s">
        <v>963</v>
      </c>
      <c r="AE103" s="194" t="s">
        <v>964</v>
      </c>
    </row>
    <row r="104" spans="1:31" ht="63.75" customHeight="1" x14ac:dyDescent="0.25">
      <c r="A104" s="190">
        <v>105</v>
      </c>
      <c r="B104" s="190">
        <f t="shared" si="0"/>
        <v>1</v>
      </c>
      <c r="C104" s="194" t="s">
        <v>965</v>
      </c>
      <c r="D104" s="22" t="s">
        <v>966</v>
      </c>
      <c r="E104" s="22">
        <v>2021</v>
      </c>
      <c r="G104" s="22" t="s">
        <v>967</v>
      </c>
      <c r="H104" s="22" t="s">
        <v>968</v>
      </c>
      <c r="I104" s="22" t="s">
        <v>969</v>
      </c>
      <c r="J104" s="22" t="s">
        <v>970</v>
      </c>
      <c r="K104" s="22" t="s">
        <v>971</v>
      </c>
      <c r="L104" s="22" t="s">
        <v>972</v>
      </c>
      <c r="M104" s="22" t="s">
        <v>973</v>
      </c>
      <c r="N104" s="22" t="s">
        <v>974</v>
      </c>
      <c r="O104" s="22" t="s">
        <v>975</v>
      </c>
      <c r="P104" s="22" t="s">
        <v>976</v>
      </c>
      <c r="Q104" s="22" t="s">
        <v>977</v>
      </c>
      <c r="R104" s="22" t="s">
        <v>978</v>
      </c>
      <c r="S104" s="22">
        <v>6</v>
      </c>
      <c r="T104" s="22" t="s">
        <v>979</v>
      </c>
      <c r="U104" s="22" t="s">
        <v>198</v>
      </c>
      <c r="V104" s="22" t="s">
        <v>980</v>
      </c>
      <c r="W104" s="22" t="s">
        <v>931</v>
      </c>
      <c r="X104" s="22" t="s">
        <v>982</v>
      </c>
      <c r="Y104" s="22" t="s">
        <v>981</v>
      </c>
      <c r="Z104" s="22" t="s">
        <v>983</v>
      </c>
      <c r="AA104" s="22" t="s">
        <v>983</v>
      </c>
      <c r="AB104" s="22" t="s">
        <v>984</v>
      </c>
      <c r="AC104" s="22" t="s">
        <v>985</v>
      </c>
      <c r="AD104" s="194" t="s">
        <v>986</v>
      </c>
      <c r="AE104" s="194" t="s">
        <v>987</v>
      </c>
    </row>
    <row r="105" spans="1:31" ht="63.75" customHeight="1" x14ac:dyDescent="0.25">
      <c r="A105" s="190">
        <v>106</v>
      </c>
      <c r="B105" s="190">
        <f t="shared" si="0"/>
        <v>1</v>
      </c>
      <c r="C105" s="194" t="s">
        <v>988</v>
      </c>
      <c r="D105" s="22" t="s">
        <v>989</v>
      </c>
      <c r="E105" s="22">
        <v>2023</v>
      </c>
      <c r="G105" s="22" t="s">
        <v>990</v>
      </c>
      <c r="H105" s="22" t="s">
        <v>991</v>
      </c>
      <c r="I105" s="22" t="s">
        <v>992</v>
      </c>
      <c r="J105" s="22" t="s">
        <v>993</v>
      </c>
      <c r="K105" s="22" t="s">
        <v>994</v>
      </c>
      <c r="L105" s="22" t="s">
        <v>995</v>
      </c>
      <c r="M105" s="22" t="s">
        <v>996</v>
      </c>
      <c r="N105" s="22" t="s">
        <v>997</v>
      </c>
      <c r="O105" s="22" t="s">
        <v>998</v>
      </c>
      <c r="P105" s="22" t="s">
        <v>999</v>
      </c>
      <c r="Q105" s="22" t="s">
        <v>1000</v>
      </c>
      <c r="R105" s="22" t="s">
        <v>1001</v>
      </c>
      <c r="S105" s="22" t="s">
        <v>1002</v>
      </c>
      <c r="T105" s="22" t="s">
        <v>1003</v>
      </c>
      <c r="U105" s="22" t="s">
        <v>1004</v>
      </c>
      <c r="V105" s="22" t="s">
        <v>1005</v>
      </c>
      <c r="W105" s="22" t="s">
        <v>1006</v>
      </c>
      <c r="X105" s="22" t="s">
        <v>1008</v>
      </c>
      <c r="Y105" s="22" t="s">
        <v>1007</v>
      </c>
      <c r="Z105" s="22" t="s">
        <v>1009</v>
      </c>
      <c r="AA105" s="22" t="s">
        <v>1010</v>
      </c>
      <c r="AB105" s="22" t="s">
        <v>1011</v>
      </c>
      <c r="AC105" s="22" t="s">
        <v>1011</v>
      </c>
      <c r="AD105" s="194" t="s">
        <v>1012</v>
      </c>
      <c r="AE105" s="194" t="s">
        <v>1013</v>
      </c>
    </row>
    <row r="106" spans="1:31" ht="63.75" customHeight="1" x14ac:dyDescent="0.25">
      <c r="A106" s="190">
        <v>107</v>
      </c>
      <c r="B106" s="190">
        <f t="shared" si="0"/>
        <v>1</v>
      </c>
      <c r="C106" s="194" t="s">
        <v>1014</v>
      </c>
      <c r="D106" s="22" t="s">
        <v>1015</v>
      </c>
      <c r="E106" s="22">
        <v>2020</v>
      </c>
      <c r="G106" s="22" t="s">
        <v>1016</v>
      </c>
      <c r="H106" s="22" t="s">
        <v>1017</v>
      </c>
      <c r="I106" s="22" t="s">
        <v>1018</v>
      </c>
      <c r="J106" s="22" t="s">
        <v>1019</v>
      </c>
      <c r="K106" s="22" t="s">
        <v>1020</v>
      </c>
      <c r="L106" s="22" t="s">
        <v>1021</v>
      </c>
      <c r="M106" s="22" t="s">
        <v>1022</v>
      </c>
      <c r="N106" s="22" t="s">
        <v>1023</v>
      </c>
      <c r="O106" s="22" t="s">
        <v>1024</v>
      </c>
      <c r="P106" s="198" t="s">
        <v>1025</v>
      </c>
      <c r="Q106" s="198" t="s">
        <v>1026</v>
      </c>
      <c r="R106" s="22" t="s">
        <v>1027</v>
      </c>
      <c r="S106" s="22" t="s">
        <v>1028</v>
      </c>
      <c r="T106" s="22" t="s">
        <v>1029</v>
      </c>
      <c r="U106" s="22" t="s">
        <v>1030</v>
      </c>
      <c r="V106" s="22" t="s">
        <v>1031</v>
      </c>
      <c r="W106" s="22" t="s">
        <v>1032</v>
      </c>
      <c r="X106" s="22" t="s">
        <v>1033</v>
      </c>
      <c r="Y106" s="22" t="s">
        <v>1034</v>
      </c>
      <c r="Z106" s="22" t="s">
        <v>1035</v>
      </c>
      <c r="AA106" s="22" t="s">
        <v>1036</v>
      </c>
      <c r="AB106" s="198" t="s">
        <v>1037</v>
      </c>
      <c r="AC106" s="22" t="s">
        <v>1038</v>
      </c>
      <c r="AD106" s="194" t="s">
        <v>1039</v>
      </c>
      <c r="AE106" s="194" t="s">
        <v>1040</v>
      </c>
    </row>
    <row r="107" spans="1:31" ht="63.75" customHeight="1" x14ac:dyDescent="0.3">
      <c r="A107" s="190">
        <v>108</v>
      </c>
      <c r="B107" s="190">
        <f t="shared" si="0"/>
        <v>1</v>
      </c>
      <c r="C107" s="194" t="s">
        <v>1057</v>
      </c>
      <c r="D107" s="22" t="s">
        <v>1058</v>
      </c>
      <c r="E107" s="22">
        <v>2021</v>
      </c>
      <c r="G107" s="22" t="s">
        <v>1059</v>
      </c>
      <c r="H107" s="22" t="s">
        <v>1060</v>
      </c>
      <c r="I107" s="22" t="s">
        <v>1061</v>
      </c>
      <c r="J107" s="22" t="s">
        <v>1062</v>
      </c>
      <c r="K107" s="22" t="s">
        <v>1063</v>
      </c>
      <c r="L107" s="22" t="s">
        <v>1064</v>
      </c>
      <c r="M107" s="22" t="s">
        <v>1065</v>
      </c>
      <c r="N107" s="197" t="s">
        <v>1066</v>
      </c>
      <c r="O107" s="22" t="s">
        <v>1067</v>
      </c>
      <c r="P107" s="22" t="s">
        <v>1068</v>
      </c>
      <c r="Q107" s="22" t="s">
        <v>1069</v>
      </c>
      <c r="R107" s="22" t="s">
        <v>1070</v>
      </c>
      <c r="S107" s="22" t="s">
        <v>1071</v>
      </c>
      <c r="T107" s="22" t="s">
        <v>1072</v>
      </c>
      <c r="U107" s="22" t="s">
        <v>1073</v>
      </c>
      <c r="V107" s="22" t="s">
        <v>1075</v>
      </c>
      <c r="W107" s="22" t="s">
        <v>1074</v>
      </c>
      <c r="X107" s="22" t="s">
        <v>1076</v>
      </c>
      <c r="Y107" s="22" t="s">
        <v>1077</v>
      </c>
      <c r="Z107" s="22" t="s">
        <v>1079</v>
      </c>
      <c r="AA107" s="22" t="s">
        <v>1078</v>
      </c>
      <c r="AB107" s="22" t="s">
        <v>1079</v>
      </c>
      <c r="AC107" s="22" t="s">
        <v>1079</v>
      </c>
      <c r="AD107" s="194" t="s">
        <v>1080</v>
      </c>
      <c r="AE107" s="194" t="s">
        <v>1081</v>
      </c>
    </row>
    <row r="108" spans="1:31" ht="63.75" customHeight="1" x14ac:dyDescent="0.25">
      <c r="A108" s="190">
        <v>109</v>
      </c>
      <c r="B108" s="190">
        <f t="shared" si="0"/>
        <v>1</v>
      </c>
      <c r="C108" s="194" t="s">
        <v>1082</v>
      </c>
      <c r="D108" s="22" t="s">
        <v>1083</v>
      </c>
      <c r="E108" s="22">
        <v>2018</v>
      </c>
      <c r="G108" s="22" t="s">
        <v>1084</v>
      </c>
      <c r="H108" s="22" t="s">
        <v>1085</v>
      </c>
      <c r="I108" s="22" t="s">
        <v>1086</v>
      </c>
      <c r="J108" s="22" t="s">
        <v>1087</v>
      </c>
      <c r="K108" s="22" t="s">
        <v>1088</v>
      </c>
      <c r="L108" s="22" t="s">
        <v>1089</v>
      </c>
      <c r="M108" s="22" t="s">
        <v>1090</v>
      </c>
      <c r="N108" s="22" t="s">
        <v>1091</v>
      </c>
      <c r="O108" s="22" t="s">
        <v>1092</v>
      </c>
      <c r="P108" s="22" t="s">
        <v>1093</v>
      </c>
      <c r="Q108" s="22" t="s">
        <v>1094</v>
      </c>
      <c r="R108" s="22" t="s">
        <v>1095</v>
      </c>
      <c r="S108" s="22">
        <v>6</v>
      </c>
      <c r="T108" s="22" t="s">
        <v>1096</v>
      </c>
      <c r="U108" s="22" t="s">
        <v>1097</v>
      </c>
      <c r="V108" s="22" t="s">
        <v>1098</v>
      </c>
      <c r="W108" s="22" t="s">
        <v>1099</v>
      </c>
      <c r="X108" s="22" t="s">
        <v>1100</v>
      </c>
      <c r="Y108" s="22" t="s">
        <v>1101</v>
      </c>
      <c r="Z108" s="22" t="s">
        <v>1102</v>
      </c>
      <c r="AA108" s="22" t="s">
        <v>1103</v>
      </c>
      <c r="AB108" s="22" t="s">
        <v>1104</v>
      </c>
      <c r="AC108" s="22" t="s">
        <v>1105</v>
      </c>
      <c r="AD108" s="194" t="s">
        <v>1106</v>
      </c>
      <c r="AE108" s="194" t="s">
        <v>1107</v>
      </c>
    </row>
    <row r="109" spans="1:31" ht="63.75" customHeight="1" x14ac:dyDescent="0.25">
      <c r="A109" s="190">
        <v>110</v>
      </c>
      <c r="B109" s="190">
        <f t="shared" si="0"/>
        <v>1</v>
      </c>
      <c r="C109" s="194" t="s">
        <v>1108</v>
      </c>
      <c r="D109" s="22" t="s">
        <v>1109</v>
      </c>
      <c r="E109" s="22">
        <v>2025</v>
      </c>
      <c r="G109" s="22" t="s">
        <v>1110</v>
      </c>
      <c r="H109" s="22" t="s">
        <v>1111</v>
      </c>
      <c r="I109" s="22" t="s">
        <v>1112</v>
      </c>
      <c r="J109" s="22" t="s">
        <v>1113</v>
      </c>
      <c r="K109" s="22" t="s">
        <v>1114</v>
      </c>
      <c r="L109" s="22" t="s">
        <v>1115</v>
      </c>
      <c r="M109" s="22" t="s">
        <v>1116</v>
      </c>
      <c r="N109" s="22" t="s">
        <v>1117</v>
      </c>
      <c r="O109" s="22" t="s">
        <v>1118</v>
      </c>
      <c r="P109" s="22" t="s">
        <v>1119</v>
      </c>
      <c r="Q109" s="22" t="s">
        <v>1120</v>
      </c>
      <c r="R109" s="22" t="s">
        <v>1120</v>
      </c>
      <c r="S109" s="22">
        <v>7</v>
      </c>
      <c r="T109" s="22" t="s">
        <v>1121</v>
      </c>
      <c r="U109" s="22" t="s">
        <v>1122</v>
      </c>
      <c r="V109" s="22" t="s">
        <v>1123</v>
      </c>
      <c r="W109" s="22" t="s">
        <v>1120</v>
      </c>
      <c r="X109" s="22" t="s">
        <v>1124</v>
      </c>
      <c r="Y109" s="22" t="s">
        <v>1125</v>
      </c>
      <c r="Z109" s="22" t="s">
        <v>1126</v>
      </c>
      <c r="AA109" s="22" t="s">
        <v>1126</v>
      </c>
      <c r="AB109" s="22" t="s">
        <v>1126</v>
      </c>
      <c r="AC109" s="22" t="s">
        <v>1126</v>
      </c>
      <c r="AD109" s="194" t="s">
        <v>1127</v>
      </c>
      <c r="AE109" s="194" t="s">
        <v>1128</v>
      </c>
    </row>
    <row r="110" spans="1:31" ht="63.75" customHeight="1" x14ac:dyDescent="0.25">
      <c r="A110" s="190">
        <v>111</v>
      </c>
      <c r="B110" s="190">
        <f t="shared" si="0"/>
        <v>1</v>
      </c>
      <c r="C110" s="194" t="s">
        <v>1129</v>
      </c>
      <c r="D110" s="22" t="s">
        <v>1130</v>
      </c>
      <c r="E110" s="22">
        <v>2024</v>
      </c>
      <c r="G110" s="22" t="s">
        <v>1131</v>
      </c>
      <c r="H110" s="22" t="s">
        <v>1111</v>
      </c>
      <c r="I110" s="22" t="s">
        <v>1132</v>
      </c>
      <c r="J110" s="22" t="s">
        <v>1133</v>
      </c>
      <c r="K110" s="22" t="s">
        <v>1134</v>
      </c>
      <c r="L110" s="22" t="s">
        <v>1135</v>
      </c>
      <c r="M110" s="22" t="s">
        <v>1136</v>
      </c>
      <c r="N110" s="22" t="s">
        <v>1137</v>
      </c>
      <c r="O110" s="22" t="s">
        <v>1138</v>
      </c>
      <c r="P110" s="22" t="s">
        <v>1139</v>
      </c>
      <c r="Q110" s="22" t="s">
        <v>1140</v>
      </c>
      <c r="R110" s="22" t="s">
        <v>1120</v>
      </c>
      <c r="S110" s="22">
        <v>4</v>
      </c>
      <c r="T110" s="22" t="s">
        <v>1141</v>
      </c>
      <c r="U110" s="22" t="s">
        <v>1142</v>
      </c>
      <c r="V110" s="22" t="s">
        <v>1143</v>
      </c>
      <c r="W110" s="22" t="s">
        <v>1120</v>
      </c>
      <c r="Y110" s="22" t="s">
        <v>1144</v>
      </c>
      <c r="AA110" s="22" t="s">
        <v>1146</v>
      </c>
      <c r="AC110" s="22" t="s">
        <v>1145</v>
      </c>
      <c r="AD110" s="194" t="s">
        <v>1147</v>
      </c>
      <c r="AE110" s="194" t="s">
        <v>1148</v>
      </c>
    </row>
    <row r="111" spans="1:31" ht="63.75" customHeight="1" thickBot="1" x14ac:dyDescent="0.3">
      <c r="A111" s="190">
        <v>112</v>
      </c>
      <c r="B111" s="190">
        <f t="shared" si="0"/>
        <v>1</v>
      </c>
      <c r="C111" s="194" t="s">
        <v>2027</v>
      </c>
      <c r="D111" s="22" t="s">
        <v>2028</v>
      </c>
      <c r="E111" s="22">
        <v>2024</v>
      </c>
      <c r="G111" s="22" t="s">
        <v>2029</v>
      </c>
      <c r="H111" s="22" t="s">
        <v>2030</v>
      </c>
      <c r="I111" s="22" t="s">
        <v>159</v>
      </c>
      <c r="J111" s="22" t="s">
        <v>2031</v>
      </c>
      <c r="K111" s="22" t="s">
        <v>2032</v>
      </c>
      <c r="L111" s="22" t="s">
        <v>2033</v>
      </c>
      <c r="M111" s="22" t="s">
        <v>2034</v>
      </c>
      <c r="N111" s="22" t="s">
        <v>2035</v>
      </c>
      <c r="O111" s="199" t="s">
        <v>2036</v>
      </c>
      <c r="P111" s="22" t="s">
        <v>1313</v>
      </c>
      <c r="Q111" s="22" t="s">
        <v>1120</v>
      </c>
      <c r="R111" s="22" t="s">
        <v>1140</v>
      </c>
      <c r="S111" s="22" t="s">
        <v>2037</v>
      </c>
      <c r="T111" s="22" t="s">
        <v>2038</v>
      </c>
      <c r="U111" s="22" t="s">
        <v>1313</v>
      </c>
      <c r="V111" s="22" t="s">
        <v>2039</v>
      </c>
      <c r="W111" s="22" t="s">
        <v>2040</v>
      </c>
      <c r="X111" s="22" t="s">
        <v>2041</v>
      </c>
      <c r="Y111" s="22" t="s">
        <v>2042</v>
      </c>
      <c r="Z111" s="22" t="s">
        <v>1313</v>
      </c>
      <c r="AA111" s="22" t="s">
        <v>2043</v>
      </c>
      <c r="AB111" s="22" t="s">
        <v>931</v>
      </c>
      <c r="AC111" s="22" t="s">
        <v>931</v>
      </c>
      <c r="AD111" s="194" t="s">
        <v>2044</v>
      </c>
      <c r="AE111" s="194" t="s">
        <v>2045</v>
      </c>
    </row>
    <row r="112" spans="1:31" ht="63.75" customHeight="1" x14ac:dyDescent="0.25">
      <c r="A112" s="190">
        <v>113</v>
      </c>
      <c r="B112" s="190">
        <f t="shared" si="0"/>
        <v>1</v>
      </c>
      <c r="C112" s="194" t="s">
        <v>2066</v>
      </c>
      <c r="D112" s="22" t="s">
        <v>2067</v>
      </c>
      <c r="E112" s="22">
        <v>2021</v>
      </c>
      <c r="G112" s="22" t="s">
        <v>2068</v>
      </c>
      <c r="H112" s="22" t="s">
        <v>2069</v>
      </c>
      <c r="I112" s="22" t="s">
        <v>2070</v>
      </c>
      <c r="J112" s="22" t="s">
        <v>579</v>
      </c>
      <c r="K112" s="22" t="s">
        <v>2071</v>
      </c>
      <c r="L112" s="22" t="s">
        <v>866</v>
      </c>
      <c r="M112" s="22" t="s">
        <v>2072</v>
      </c>
      <c r="N112" s="22" t="s">
        <v>2073</v>
      </c>
      <c r="O112" s="22" t="s">
        <v>2074</v>
      </c>
      <c r="P112" s="22" t="s">
        <v>2075</v>
      </c>
      <c r="Q112" s="22" t="s">
        <v>1120</v>
      </c>
      <c r="R112" s="22" t="s">
        <v>1120</v>
      </c>
      <c r="S112" s="22" t="s">
        <v>2076</v>
      </c>
      <c r="T112" s="22" t="s">
        <v>2077</v>
      </c>
      <c r="U112" s="22" t="s">
        <v>2078</v>
      </c>
      <c r="V112" s="22" t="s">
        <v>2079</v>
      </c>
      <c r="W112" s="22" t="s">
        <v>1120</v>
      </c>
      <c r="X112" s="22" t="s">
        <v>2080</v>
      </c>
      <c r="Y112" s="22" t="s">
        <v>2081</v>
      </c>
      <c r="Z112" s="22" t="s">
        <v>1313</v>
      </c>
      <c r="AA112" s="22" t="s">
        <v>2082</v>
      </c>
      <c r="AB112" s="22" t="s">
        <v>1120</v>
      </c>
      <c r="AC112" s="22" t="s">
        <v>1120</v>
      </c>
      <c r="AD112" s="194" t="s">
        <v>2083</v>
      </c>
      <c r="AE112" s="194" t="s">
        <v>2084</v>
      </c>
    </row>
    <row r="113" spans="1:7" ht="63.75" customHeight="1" x14ac:dyDescent="0.25">
      <c r="A113" s="190">
        <v>114</v>
      </c>
      <c r="B113" s="190"/>
      <c r="C113" s="194" t="s">
        <v>2468</v>
      </c>
      <c r="D113" s="22" t="s">
        <v>2469</v>
      </c>
      <c r="E113" s="22">
        <v>2023</v>
      </c>
      <c r="F113" s="22" t="s">
        <v>2470</v>
      </c>
      <c r="G113" s="22" t="s">
        <v>2471</v>
      </c>
    </row>
    <row r="114" spans="1:7" ht="63.75" customHeight="1" x14ac:dyDescent="0.25">
      <c r="A114" s="190"/>
      <c r="B114" s="190"/>
    </row>
    <row r="115" spans="1:7" ht="63.75" customHeight="1" x14ac:dyDescent="0.25">
      <c r="A115" s="190"/>
      <c r="B115" s="190"/>
    </row>
    <row r="116" spans="1:7" ht="63.75" customHeight="1" x14ac:dyDescent="0.25">
      <c r="A116" s="190"/>
      <c r="B116" s="190"/>
    </row>
    <row r="117" spans="1:7" ht="63.75" customHeight="1" x14ac:dyDescent="0.25">
      <c r="A117" s="190"/>
      <c r="B117" s="190"/>
    </row>
    <row r="118" spans="1:7" ht="63.75" customHeight="1" x14ac:dyDescent="0.25">
      <c r="A118" s="190"/>
      <c r="B118" s="190"/>
    </row>
    <row r="119" spans="1:7" ht="63.75" customHeight="1" x14ac:dyDescent="0.25">
      <c r="A119" s="190"/>
      <c r="B119" s="190"/>
    </row>
    <row r="120" spans="1:7" ht="63.75" customHeight="1" x14ac:dyDescent="0.25">
      <c r="A120" s="190"/>
      <c r="B120" s="190"/>
    </row>
    <row r="121" spans="1:7" ht="63.75" customHeight="1" x14ac:dyDescent="0.25">
      <c r="A121" s="190"/>
      <c r="B121" s="190"/>
    </row>
    <row r="122" spans="1:7" ht="63.75" customHeight="1" x14ac:dyDescent="0.25">
      <c r="A122" s="190"/>
      <c r="B122" s="190"/>
    </row>
    <row r="123" spans="1:7" ht="63.75" customHeight="1" x14ac:dyDescent="0.25">
      <c r="A123" s="190"/>
      <c r="B123" s="190"/>
    </row>
    <row r="124" spans="1:7" ht="63.75" customHeight="1" x14ac:dyDescent="0.25">
      <c r="A124" s="190"/>
      <c r="B124" s="190"/>
    </row>
    <row r="125" spans="1:7" ht="63.75" customHeight="1" x14ac:dyDescent="0.25">
      <c r="A125" s="190"/>
      <c r="B125" s="190"/>
    </row>
    <row r="126" spans="1:7" ht="63.75" customHeight="1" x14ac:dyDescent="0.25">
      <c r="A126" s="190"/>
      <c r="B126" s="190"/>
    </row>
    <row r="127" spans="1:7" ht="63.75" customHeight="1" x14ac:dyDescent="0.25">
      <c r="A127" s="190"/>
      <c r="B127" s="190"/>
    </row>
    <row r="128" spans="1:7" ht="63.75" customHeight="1" x14ac:dyDescent="0.25">
      <c r="A128" s="190"/>
      <c r="B128" s="190"/>
    </row>
    <row r="129" spans="1:2" ht="63.75" customHeight="1" x14ac:dyDescent="0.25">
      <c r="A129" s="190"/>
      <c r="B129" s="190"/>
    </row>
    <row r="130" spans="1:2" ht="63.75" customHeight="1" x14ac:dyDescent="0.25">
      <c r="A130" s="190"/>
      <c r="B130" s="190"/>
    </row>
    <row r="131" spans="1:2" ht="63.75" customHeight="1" x14ac:dyDescent="0.25">
      <c r="A131" s="190"/>
      <c r="B131" s="190"/>
    </row>
    <row r="132" spans="1:2" ht="63.75" customHeight="1" x14ac:dyDescent="0.25">
      <c r="A132" s="190"/>
      <c r="B132" s="190"/>
    </row>
    <row r="133" spans="1:2" ht="63.75" customHeight="1" x14ac:dyDescent="0.25">
      <c r="A133" s="190"/>
      <c r="B133" s="190"/>
    </row>
    <row r="134" spans="1:2" ht="63.75" customHeight="1" x14ac:dyDescent="0.25">
      <c r="A134" s="190"/>
      <c r="B134" s="190"/>
    </row>
    <row r="135" spans="1:2" ht="63.75" customHeight="1" x14ac:dyDescent="0.25">
      <c r="A135" s="190"/>
      <c r="B135" s="190"/>
    </row>
    <row r="136" spans="1:2" ht="63.75" customHeight="1" x14ac:dyDescent="0.25">
      <c r="A136" s="190"/>
      <c r="B136" s="190"/>
    </row>
    <row r="137" spans="1:2" ht="63.75" customHeight="1" x14ac:dyDescent="0.25">
      <c r="A137" s="190"/>
      <c r="B137" s="190"/>
    </row>
    <row r="138" spans="1:2" ht="63.75" customHeight="1" x14ac:dyDescent="0.25">
      <c r="A138" s="190"/>
      <c r="B138" s="190"/>
    </row>
    <row r="139" spans="1:2" ht="63.75" customHeight="1" x14ac:dyDescent="0.25">
      <c r="A139" s="190"/>
      <c r="B139" s="190"/>
    </row>
    <row r="140" spans="1:2" ht="63.75" customHeight="1" x14ac:dyDescent="0.25">
      <c r="A140" s="190"/>
      <c r="B140" s="190"/>
    </row>
    <row r="141" spans="1:2" ht="63.75" customHeight="1" x14ac:dyDescent="0.25">
      <c r="A141" s="190"/>
      <c r="B141" s="190"/>
    </row>
    <row r="142" spans="1:2" ht="63.75" customHeight="1" x14ac:dyDescent="0.25">
      <c r="A142" s="190"/>
      <c r="B142" s="190"/>
    </row>
    <row r="143" spans="1:2" ht="63.75" customHeight="1" x14ac:dyDescent="0.25">
      <c r="A143" s="190"/>
      <c r="B143" s="190"/>
    </row>
    <row r="144" spans="1:2" ht="63.75" customHeight="1" x14ac:dyDescent="0.25">
      <c r="A144" s="190"/>
      <c r="B144" s="190"/>
    </row>
    <row r="145" spans="1:2" ht="63.75" customHeight="1" x14ac:dyDescent="0.25">
      <c r="A145" s="190"/>
      <c r="B145" s="190"/>
    </row>
    <row r="146" spans="1:2" ht="63.75" customHeight="1" x14ac:dyDescent="0.25">
      <c r="A146" s="190"/>
      <c r="B146" s="190"/>
    </row>
    <row r="147" spans="1:2" ht="63.75" customHeight="1" x14ac:dyDescent="0.25">
      <c r="A147" s="190"/>
      <c r="B147" s="190"/>
    </row>
    <row r="148" spans="1:2" ht="63.75" customHeight="1" x14ac:dyDescent="0.25">
      <c r="A148" s="190"/>
      <c r="B148" s="190"/>
    </row>
    <row r="149" spans="1:2" ht="63.75" customHeight="1" x14ac:dyDescent="0.25">
      <c r="A149" s="190"/>
      <c r="B149" s="190"/>
    </row>
    <row r="150" spans="1:2" ht="63.75" customHeight="1" x14ac:dyDescent="0.25">
      <c r="A150" s="190"/>
      <c r="B150" s="190"/>
    </row>
    <row r="151" spans="1:2" ht="63.75" customHeight="1" x14ac:dyDescent="0.25">
      <c r="A151" s="190"/>
      <c r="B151" s="190"/>
    </row>
    <row r="152" spans="1:2" ht="63.75" customHeight="1" x14ac:dyDescent="0.25">
      <c r="A152" s="190"/>
      <c r="B152" s="190"/>
    </row>
    <row r="153" spans="1:2" ht="63.75" customHeight="1" x14ac:dyDescent="0.25">
      <c r="A153" s="190"/>
      <c r="B153" s="190"/>
    </row>
    <row r="154" spans="1:2" ht="63.75" customHeight="1" x14ac:dyDescent="0.25">
      <c r="A154" s="190"/>
      <c r="B154" s="190"/>
    </row>
    <row r="155" spans="1:2" ht="63.75" customHeight="1" x14ac:dyDescent="0.25">
      <c r="A155" s="190"/>
      <c r="B155" s="190"/>
    </row>
    <row r="156" spans="1:2" ht="63.75" customHeight="1" x14ac:dyDescent="0.25">
      <c r="A156" s="190"/>
      <c r="B156" s="190"/>
    </row>
    <row r="157" spans="1:2" ht="63.75" customHeight="1" x14ac:dyDescent="0.25">
      <c r="A157" s="190"/>
      <c r="B157" s="190"/>
    </row>
    <row r="158" spans="1:2" ht="63.75" customHeight="1" x14ac:dyDescent="0.25">
      <c r="A158" s="190"/>
      <c r="B158" s="190"/>
    </row>
    <row r="159" spans="1:2" ht="63.75" customHeight="1" x14ac:dyDescent="0.25">
      <c r="A159" s="190"/>
      <c r="B159" s="190"/>
    </row>
    <row r="160" spans="1:2" ht="63.75" customHeight="1" x14ac:dyDescent="0.25">
      <c r="A160" s="190"/>
      <c r="B160" s="190"/>
    </row>
    <row r="161" spans="1:2" ht="63.75" customHeight="1" x14ac:dyDescent="0.25">
      <c r="A161" s="190"/>
      <c r="B161" s="190"/>
    </row>
    <row r="162" spans="1:2" ht="63.75" customHeight="1" x14ac:dyDescent="0.25">
      <c r="A162" s="190"/>
      <c r="B162" s="190"/>
    </row>
    <row r="163" spans="1:2" ht="63.75" customHeight="1" x14ac:dyDescent="0.25">
      <c r="A163" s="190"/>
      <c r="B163" s="190"/>
    </row>
    <row r="164" spans="1:2" ht="63.75" customHeight="1" x14ac:dyDescent="0.25">
      <c r="A164" s="190"/>
      <c r="B164" s="190"/>
    </row>
    <row r="165" spans="1:2" ht="63.75" customHeight="1" x14ac:dyDescent="0.25">
      <c r="A165" s="190"/>
      <c r="B165" s="190"/>
    </row>
    <row r="166" spans="1:2" ht="63.75" customHeight="1" x14ac:dyDescent="0.25">
      <c r="A166" s="190"/>
      <c r="B166" s="190"/>
    </row>
    <row r="167" spans="1:2" ht="63.75" customHeight="1" x14ac:dyDescent="0.25">
      <c r="A167" s="190"/>
      <c r="B167" s="190"/>
    </row>
    <row r="168" spans="1:2" ht="63.75" customHeight="1" x14ac:dyDescent="0.25">
      <c r="A168" s="190"/>
      <c r="B168" s="190"/>
    </row>
    <row r="169" spans="1:2" ht="63.75" customHeight="1" x14ac:dyDescent="0.25">
      <c r="A169" s="190"/>
      <c r="B169" s="190"/>
    </row>
    <row r="170" spans="1:2" ht="63.75" customHeight="1" x14ac:dyDescent="0.25">
      <c r="A170" s="190"/>
      <c r="B170" s="190"/>
    </row>
    <row r="171" spans="1:2" ht="63.75" customHeight="1" x14ac:dyDescent="0.25">
      <c r="A171" s="190"/>
      <c r="B171" s="190"/>
    </row>
    <row r="172" spans="1:2" ht="63.75" customHeight="1" x14ac:dyDescent="0.25">
      <c r="A172" s="190"/>
      <c r="B172" s="190"/>
    </row>
    <row r="173" spans="1:2" ht="63.75" customHeight="1" x14ac:dyDescent="0.25">
      <c r="A173" s="190"/>
      <c r="B173" s="190"/>
    </row>
    <row r="174" spans="1:2" ht="63.75" customHeight="1" x14ac:dyDescent="0.25">
      <c r="A174" s="190"/>
      <c r="B174" s="190"/>
    </row>
    <row r="175" spans="1:2" ht="63.75" customHeight="1" x14ac:dyDescent="0.25">
      <c r="A175" s="190"/>
      <c r="B175" s="190"/>
    </row>
    <row r="176" spans="1:2" ht="63.75" customHeight="1" x14ac:dyDescent="0.25">
      <c r="A176" s="190"/>
      <c r="B176" s="190"/>
    </row>
    <row r="177" spans="1:2" ht="63.75" customHeight="1" x14ac:dyDescent="0.25">
      <c r="A177" s="190"/>
      <c r="B177" s="190"/>
    </row>
    <row r="178" spans="1:2" ht="63.75" customHeight="1" x14ac:dyDescent="0.25">
      <c r="A178" s="190"/>
      <c r="B178" s="190"/>
    </row>
    <row r="179" spans="1:2" ht="63.75" customHeight="1" x14ac:dyDescent="0.25">
      <c r="A179" s="190"/>
      <c r="B179" s="190"/>
    </row>
    <row r="180" spans="1:2" ht="63.75" customHeight="1" x14ac:dyDescent="0.25">
      <c r="A180" s="190"/>
      <c r="B180" s="190"/>
    </row>
    <row r="181" spans="1:2" ht="63.75" customHeight="1" x14ac:dyDescent="0.25">
      <c r="A181" s="190"/>
      <c r="B181" s="190"/>
    </row>
    <row r="182" spans="1:2" ht="63.75" customHeight="1" x14ac:dyDescent="0.25">
      <c r="A182" s="190"/>
      <c r="B182" s="190"/>
    </row>
    <row r="183" spans="1:2" ht="63.75" customHeight="1" x14ac:dyDescent="0.25">
      <c r="A183" s="190"/>
      <c r="B183" s="190"/>
    </row>
    <row r="184" spans="1:2" ht="63.75" customHeight="1" x14ac:dyDescent="0.25">
      <c r="A184" s="190"/>
      <c r="B184" s="190"/>
    </row>
    <row r="185" spans="1:2" ht="63.75" customHeight="1" x14ac:dyDescent="0.25">
      <c r="A185" s="190"/>
      <c r="B185" s="190"/>
    </row>
    <row r="186" spans="1:2" ht="63.75" customHeight="1" x14ac:dyDescent="0.25">
      <c r="A186" s="190"/>
      <c r="B186" s="190"/>
    </row>
    <row r="187" spans="1:2" ht="63.75" customHeight="1" x14ac:dyDescent="0.25">
      <c r="A187" s="190"/>
      <c r="B187" s="190"/>
    </row>
    <row r="188" spans="1:2" ht="63.75" customHeight="1" x14ac:dyDescent="0.25">
      <c r="A188" s="190"/>
      <c r="B188" s="190"/>
    </row>
    <row r="189" spans="1:2" ht="63.75" customHeight="1" x14ac:dyDescent="0.25">
      <c r="A189" s="190"/>
      <c r="B189" s="190"/>
    </row>
    <row r="190" spans="1:2" ht="63.75" customHeight="1" x14ac:dyDescent="0.25">
      <c r="A190" s="190"/>
      <c r="B190" s="190"/>
    </row>
    <row r="191" spans="1:2" ht="63.75" customHeight="1" x14ac:dyDescent="0.25">
      <c r="A191" s="190"/>
      <c r="B191" s="190"/>
    </row>
    <row r="192" spans="1:2" ht="63.75" customHeight="1" x14ac:dyDescent="0.25">
      <c r="A192" s="190"/>
      <c r="B192" s="190"/>
    </row>
    <row r="193" spans="1:2" ht="63.75" customHeight="1" x14ac:dyDescent="0.25">
      <c r="A193" s="190"/>
      <c r="B193" s="190"/>
    </row>
    <row r="194" spans="1:2" ht="63.75" customHeight="1" x14ac:dyDescent="0.25">
      <c r="A194" s="190"/>
      <c r="B194" s="190"/>
    </row>
    <row r="195" spans="1:2" ht="63.75" customHeight="1" x14ac:dyDescent="0.25">
      <c r="A195" s="190"/>
      <c r="B195" s="190"/>
    </row>
    <row r="196" spans="1:2" ht="63.75" customHeight="1" x14ac:dyDescent="0.25">
      <c r="A196" s="190"/>
      <c r="B196" s="190"/>
    </row>
    <row r="197" spans="1:2" ht="63.75" customHeight="1" x14ac:dyDescent="0.25">
      <c r="A197" s="190"/>
      <c r="B197" s="190"/>
    </row>
    <row r="198" spans="1:2" ht="63.75" customHeight="1" x14ac:dyDescent="0.25">
      <c r="A198" s="190"/>
      <c r="B198" s="190"/>
    </row>
    <row r="199" spans="1:2" ht="63.75" customHeight="1" x14ac:dyDescent="0.25">
      <c r="A199" s="190"/>
      <c r="B199" s="190"/>
    </row>
    <row r="200" spans="1:2" ht="63.75" customHeight="1" x14ac:dyDescent="0.25">
      <c r="A200" s="190"/>
      <c r="B200" s="190"/>
    </row>
    <row r="201" spans="1:2" ht="63.75" customHeight="1" x14ac:dyDescent="0.25">
      <c r="A201" s="190"/>
      <c r="B201" s="190"/>
    </row>
    <row r="202" spans="1:2" ht="63.75" customHeight="1" x14ac:dyDescent="0.25">
      <c r="A202" s="190"/>
      <c r="B202" s="190"/>
    </row>
    <row r="203" spans="1:2" ht="63.75" customHeight="1" x14ac:dyDescent="0.25">
      <c r="A203" s="190"/>
      <c r="B203" s="190"/>
    </row>
    <row r="204" spans="1:2" ht="63.75" customHeight="1" x14ac:dyDescent="0.25">
      <c r="A204" s="190"/>
      <c r="B204" s="190"/>
    </row>
    <row r="205" spans="1:2" ht="63.75" customHeight="1" x14ac:dyDescent="0.25">
      <c r="A205" s="190"/>
      <c r="B205" s="190"/>
    </row>
    <row r="206" spans="1:2" ht="63.75" customHeight="1" x14ac:dyDescent="0.25">
      <c r="A206" s="190"/>
      <c r="B206" s="190"/>
    </row>
    <row r="207" spans="1:2" ht="63.75" customHeight="1" x14ac:dyDescent="0.25">
      <c r="A207" s="190"/>
      <c r="B207" s="190"/>
    </row>
    <row r="208" spans="1:2" ht="63.75" customHeight="1" x14ac:dyDescent="0.25">
      <c r="A208" s="190"/>
      <c r="B208" s="190"/>
    </row>
    <row r="209" spans="1:2" ht="63.75" customHeight="1" x14ac:dyDescent="0.25">
      <c r="A209" s="190"/>
      <c r="B209" s="190"/>
    </row>
    <row r="210" spans="1:2" ht="63.75" customHeight="1" x14ac:dyDescent="0.25">
      <c r="A210" s="190"/>
      <c r="B210" s="190"/>
    </row>
    <row r="211" spans="1:2" ht="63.75" customHeight="1" x14ac:dyDescent="0.25">
      <c r="A211" s="190"/>
      <c r="B211" s="190"/>
    </row>
    <row r="212" spans="1:2" ht="63.75" customHeight="1" x14ac:dyDescent="0.25">
      <c r="A212" s="190"/>
      <c r="B212" s="190"/>
    </row>
    <row r="213" spans="1:2" ht="63.75" customHeight="1" x14ac:dyDescent="0.25">
      <c r="A213" s="190"/>
      <c r="B213" s="190"/>
    </row>
    <row r="214" spans="1:2" ht="63.75" customHeight="1" x14ac:dyDescent="0.25">
      <c r="A214" s="190"/>
      <c r="B214" s="190"/>
    </row>
    <row r="215" spans="1:2" ht="63.75" customHeight="1" x14ac:dyDescent="0.25">
      <c r="A215" s="190"/>
      <c r="B215" s="190"/>
    </row>
    <row r="216" spans="1:2" ht="63.75" customHeight="1" x14ac:dyDescent="0.25">
      <c r="A216" s="190"/>
      <c r="B216" s="190"/>
    </row>
    <row r="217" spans="1:2" ht="63.75" customHeight="1" x14ac:dyDescent="0.25">
      <c r="A217" s="190"/>
      <c r="B217" s="190"/>
    </row>
    <row r="218" spans="1:2" ht="63.75" customHeight="1" x14ac:dyDescent="0.25">
      <c r="A218" s="190"/>
      <c r="B218" s="190"/>
    </row>
    <row r="219" spans="1:2" ht="63.75" customHeight="1" x14ac:dyDescent="0.25">
      <c r="A219" s="190"/>
      <c r="B219" s="190"/>
    </row>
    <row r="220" spans="1:2" ht="63.75" customHeight="1" x14ac:dyDescent="0.25">
      <c r="A220" s="190"/>
      <c r="B220" s="190"/>
    </row>
    <row r="221" spans="1:2" ht="63.75" customHeight="1" x14ac:dyDescent="0.25">
      <c r="A221" s="190"/>
      <c r="B221" s="190"/>
    </row>
    <row r="222" spans="1:2" ht="63.75" customHeight="1" x14ac:dyDescent="0.25">
      <c r="A222" s="190"/>
      <c r="B222" s="190"/>
    </row>
    <row r="223" spans="1:2" ht="63.75" customHeight="1" x14ac:dyDescent="0.25">
      <c r="A223" s="190"/>
      <c r="B223" s="190"/>
    </row>
    <row r="224" spans="1:2" ht="63.75" customHeight="1" x14ac:dyDescent="0.25">
      <c r="A224" s="190"/>
      <c r="B224" s="190"/>
    </row>
    <row r="225" spans="1:2" ht="63.75" customHeight="1" x14ac:dyDescent="0.25">
      <c r="A225" s="190"/>
      <c r="B225" s="190"/>
    </row>
    <row r="226" spans="1:2" ht="63.75" customHeight="1" x14ac:dyDescent="0.25">
      <c r="A226" s="190"/>
      <c r="B226" s="190"/>
    </row>
    <row r="227" spans="1:2" ht="63.75" customHeight="1" x14ac:dyDescent="0.25">
      <c r="A227" s="190"/>
      <c r="B227" s="190"/>
    </row>
    <row r="228" spans="1:2" ht="63.75" customHeight="1" x14ac:dyDescent="0.25">
      <c r="A228" s="190"/>
      <c r="B228" s="190"/>
    </row>
    <row r="229" spans="1:2" ht="63.75" customHeight="1" x14ac:dyDescent="0.25">
      <c r="A229" s="190"/>
      <c r="B229" s="190"/>
    </row>
    <row r="230" spans="1:2" ht="63.75" customHeight="1" x14ac:dyDescent="0.25">
      <c r="A230" s="190"/>
      <c r="B230" s="190"/>
    </row>
    <row r="231" spans="1:2" ht="63.75" customHeight="1" x14ac:dyDescent="0.25">
      <c r="A231" s="190"/>
      <c r="B231" s="190"/>
    </row>
    <row r="232" spans="1:2" ht="63.75" customHeight="1" x14ac:dyDescent="0.25">
      <c r="A232" s="190"/>
      <c r="B232" s="190"/>
    </row>
    <row r="233" spans="1:2" ht="63.75" customHeight="1" x14ac:dyDescent="0.25">
      <c r="A233" s="190"/>
      <c r="B233" s="190"/>
    </row>
    <row r="234" spans="1:2" ht="63.75" customHeight="1" x14ac:dyDescent="0.25">
      <c r="A234" s="190"/>
      <c r="B234" s="190"/>
    </row>
    <row r="235" spans="1:2" ht="63.75" customHeight="1" x14ac:dyDescent="0.25">
      <c r="A235" s="190"/>
      <c r="B235" s="190"/>
    </row>
    <row r="236" spans="1:2" ht="63.75" customHeight="1" x14ac:dyDescent="0.25">
      <c r="A236" s="190"/>
      <c r="B236" s="190"/>
    </row>
    <row r="237" spans="1:2" ht="63.75" customHeight="1" x14ac:dyDescent="0.25">
      <c r="A237" s="190"/>
      <c r="B237" s="190"/>
    </row>
    <row r="238" spans="1:2" ht="63.75" customHeight="1" x14ac:dyDescent="0.25">
      <c r="A238" s="190"/>
      <c r="B238" s="190"/>
    </row>
    <row r="239" spans="1:2" ht="63.75" customHeight="1" x14ac:dyDescent="0.25">
      <c r="A239" s="190"/>
      <c r="B239" s="190"/>
    </row>
    <row r="240" spans="1:2" ht="63.75" customHeight="1" x14ac:dyDescent="0.25">
      <c r="A240" s="190"/>
      <c r="B240" s="190"/>
    </row>
    <row r="241" spans="1:2" ht="63.75" customHeight="1" x14ac:dyDescent="0.25">
      <c r="A241" s="190"/>
      <c r="B241" s="190"/>
    </row>
    <row r="242" spans="1:2" ht="63.75" customHeight="1" x14ac:dyDescent="0.25">
      <c r="A242" s="190"/>
      <c r="B242" s="190"/>
    </row>
    <row r="243" spans="1:2" ht="63.75" customHeight="1" x14ac:dyDescent="0.25">
      <c r="A243" s="190"/>
      <c r="B243" s="190"/>
    </row>
    <row r="244" spans="1:2" ht="63.75" customHeight="1" x14ac:dyDescent="0.25">
      <c r="A244" s="190"/>
      <c r="B244" s="190"/>
    </row>
    <row r="245" spans="1:2" ht="63.75" customHeight="1" x14ac:dyDescent="0.25">
      <c r="A245" s="190"/>
      <c r="B245" s="190"/>
    </row>
    <row r="246" spans="1:2" ht="63.75" customHeight="1" x14ac:dyDescent="0.25">
      <c r="A246" s="190"/>
      <c r="B246" s="190"/>
    </row>
    <row r="247" spans="1:2" ht="63.75" customHeight="1" x14ac:dyDescent="0.25">
      <c r="A247" s="190"/>
      <c r="B247" s="190"/>
    </row>
    <row r="248" spans="1:2" ht="63.75" customHeight="1" x14ac:dyDescent="0.25">
      <c r="A248" s="190"/>
      <c r="B248" s="190"/>
    </row>
    <row r="249" spans="1:2" ht="63.75" customHeight="1" x14ac:dyDescent="0.25">
      <c r="A249" s="190"/>
      <c r="B249" s="190"/>
    </row>
    <row r="250" spans="1:2" ht="63.75" customHeight="1" x14ac:dyDescent="0.25">
      <c r="A250" s="190"/>
      <c r="B250" s="190"/>
    </row>
    <row r="251" spans="1:2" ht="63.75" customHeight="1" x14ac:dyDescent="0.25">
      <c r="A251" s="190"/>
      <c r="B251" s="190"/>
    </row>
    <row r="252" spans="1:2" ht="63.75" customHeight="1" x14ac:dyDescent="0.25">
      <c r="A252" s="190"/>
      <c r="B252" s="190"/>
    </row>
    <row r="253" spans="1:2" ht="63.75" customHeight="1" x14ac:dyDescent="0.25">
      <c r="A253" s="190"/>
      <c r="B253" s="190"/>
    </row>
    <row r="254" spans="1:2" ht="63.75" customHeight="1" x14ac:dyDescent="0.25">
      <c r="A254" s="190"/>
      <c r="B254" s="190"/>
    </row>
    <row r="255" spans="1:2" ht="63.75" customHeight="1" x14ac:dyDescent="0.25">
      <c r="A255" s="190"/>
      <c r="B255" s="190"/>
    </row>
    <row r="256" spans="1:2" ht="63.75" customHeight="1" x14ac:dyDescent="0.25">
      <c r="A256" s="190"/>
      <c r="B256" s="190"/>
    </row>
    <row r="257" spans="1:2" ht="63.75" customHeight="1" x14ac:dyDescent="0.25">
      <c r="A257" s="190"/>
      <c r="B257" s="190"/>
    </row>
    <row r="258" spans="1:2" ht="63.75" customHeight="1" x14ac:dyDescent="0.25">
      <c r="A258" s="190"/>
      <c r="B258" s="190"/>
    </row>
    <row r="259" spans="1:2" ht="63.75" customHeight="1" x14ac:dyDescent="0.25">
      <c r="A259" s="190"/>
      <c r="B259" s="190"/>
    </row>
    <row r="260" spans="1:2" ht="63.75" customHeight="1" x14ac:dyDescent="0.25">
      <c r="A260" s="190"/>
      <c r="B260" s="190"/>
    </row>
    <row r="261" spans="1:2" ht="63.75" customHeight="1" x14ac:dyDescent="0.25">
      <c r="A261" s="190"/>
      <c r="B261" s="190"/>
    </row>
    <row r="262" spans="1:2" ht="63.75" customHeight="1" x14ac:dyDescent="0.25">
      <c r="A262" s="190"/>
      <c r="B262" s="190"/>
    </row>
    <row r="263" spans="1:2" ht="63.75" customHeight="1" x14ac:dyDescent="0.25">
      <c r="A263" s="190"/>
      <c r="B263" s="190"/>
    </row>
    <row r="264" spans="1:2" ht="63.75" customHeight="1" x14ac:dyDescent="0.25">
      <c r="A264" s="190"/>
      <c r="B264" s="190"/>
    </row>
    <row r="265" spans="1:2" ht="63.75" customHeight="1" x14ac:dyDescent="0.25">
      <c r="A265" s="190"/>
      <c r="B265" s="190"/>
    </row>
    <row r="266" spans="1:2" ht="63.75" customHeight="1" x14ac:dyDescent="0.25">
      <c r="A266" s="190"/>
      <c r="B266" s="190"/>
    </row>
    <row r="267" spans="1:2" ht="63.75" customHeight="1" x14ac:dyDescent="0.25">
      <c r="A267" s="190"/>
      <c r="B267" s="190"/>
    </row>
    <row r="268" spans="1:2" ht="63.75" customHeight="1" x14ac:dyDescent="0.25">
      <c r="A268" s="190"/>
      <c r="B268" s="190"/>
    </row>
    <row r="269" spans="1:2" ht="63.75" customHeight="1" x14ac:dyDescent="0.25">
      <c r="A269" s="190"/>
      <c r="B269" s="190"/>
    </row>
    <row r="270" spans="1:2" ht="63.75" customHeight="1" x14ac:dyDescent="0.25">
      <c r="A270" s="190"/>
      <c r="B270" s="190"/>
    </row>
    <row r="271" spans="1:2" ht="63.75" customHeight="1" x14ac:dyDescent="0.25">
      <c r="A271" s="190"/>
      <c r="B271" s="190"/>
    </row>
    <row r="272" spans="1:2" ht="63.75" customHeight="1" x14ac:dyDescent="0.25">
      <c r="A272" s="190"/>
      <c r="B272" s="190"/>
    </row>
    <row r="273" spans="1:2" ht="63.75" customHeight="1" x14ac:dyDescent="0.25">
      <c r="A273" s="190"/>
      <c r="B273" s="190"/>
    </row>
    <row r="274" spans="1:2" ht="63.75" customHeight="1" x14ac:dyDescent="0.25">
      <c r="A274" s="190"/>
      <c r="B274" s="190"/>
    </row>
    <row r="275" spans="1:2" ht="63.75" customHeight="1" x14ac:dyDescent="0.25">
      <c r="A275" s="190"/>
      <c r="B275" s="190"/>
    </row>
    <row r="276" spans="1:2" ht="63.75" customHeight="1" x14ac:dyDescent="0.25">
      <c r="A276" s="190"/>
      <c r="B276" s="190"/>
    </row>
    <row r="277" spans="1:2" ht="63.75" customHeight="1" x14ac:dyDescent="0.25">
      <c r="A277" s="190"/>
      <c r="B277" s="190"/>
    </row>
    <row r="278" spans="1:2" ht="63.75" customHeight="1" x14ac:dyDescent="0.25">
      <c r="A278" s="190"/>
      <c r="B278" s="190"/>
    </row>
    <row r="279" spans="1:2" ht="63.75" customHeight="1" x14ac:dyDescent="0.25">
      <c r="A279" s="190"/>
      <c r="B279" s="190"/>
    </row>
    <row r="280" spans="1:2" ht="63.75" customHeight="1" x14ac:dyDescent="0.25">
      <c r="A280" s="190"/>
      <c r="B280" s="190"/>
    </row>
    <row r="281" spans="1:2" ht="63.75" customHeight="1" x14ac:dyDescent="0.25">
      <c r="A281" s="190"/>
      <c r="B281" s="190"/>
    </row>
    <row r="282" spans="1:2" ht="63.75" customHeight="1" x14ac:dyDescent="0.25">
      <c r="A282" s="190"/>
      <c r="B282" s="190"/>
    </row>
    <row r="283" spans="1:2" ht="63.75" customHeight="1" x14ac:dyDescent="0.25">
      <c r="A283" s="190"/>
      <c r="B283" s="190"/>
    </row>
    <row r="284" spans="1:2" ht="63.75" customHeight="1" x14ac:dyDescent="0.25">
      <c r="A284" s="190"/>
      <c r="B284" s="190"/>
    </row>
    <row r="285" spans="1:2" ht="63.75" customHeight="1" x14ac:dyDescent="0.25">
      <c r="A285" s="190"/>
      <c r="B285" s="190"/>
    </row>
    <row r="286" spans="1:2" ht="63.75" customHeight="1" x14ac:dyDescent="0.25">
      <c r="A286" s="190"/>
      <c r="B286" s="190"/>
    </row>
    <row r="287" spans="1:2" ht="63.75" customHeight="1" x14ac:dyDescent="0.25">
      <c r="A287" s="190"/>
      <c r="B287" s="190"/>
    </row>
    <row r="288" spans="1:2" ht="63.75" customHeight="1" x14ac:dyDescent="0.25">
      <c r="A288" s="190"/>
      <c r="B288" s="190"/>
    </row>
    <row r="289" spans="1:2" ht="63.75" customHeight="1" x14ac:dyDescent="0.25">
      <c r="A289" s="190"/>
      <c r="B289" s="190"/>
    </row>
    <row r="290" spans="1:2" ht="63.75" customHeight="1" x14ac:dyDescent="0.25">
      <c r="A290" s="190"/>
      <c r="B290" s="190"/>
    </row>
    <row r="291" spans="1:2" ht="63.75" customHeight="1" x14ac:dyDescent="0.25">
      <c r="A291" s="190"/>
      <c r="B291" s="190"/>
    </row>
    <row r="292" spans="1:2" ht="63.75" customHeight="1" x14ac:dyDescent="0.25">
      <c r="A292" s="190"/>
      <c r="B292" s="190"/>
    </row>
    <row r="293" spans="1:2" ht="63.75" customHeight="1" x14ac:dyDescent="0.25">
      <c r="A293" s="190"/>
      <c r="B293" s="190"/>
    </row>
    <row r="294" spans="1:2" ht="63.75" customHeight="1" x14ac:dyDescent="0.25">
      <c r="A294" s="190"/>
      <c r="B294" s="190"/>
    </row>
    <row r="295" spans="1:2" ht="63.75" customHeight="1" x14ac:dyDescent="0.25">
      <c r="A295" s="190"/>
      <c r="B295" s="190"/>
    </row>
    <row r="296" spans="1:2" ht="63.75" customHeight="1" x14ac:dyDescent="0.25">
      <c r="A296" s="190"/>
      <c r="B296" s="190"/>
    </row>
    <row r="297" spans="1:2" ht="63.75" customHeight="1" x14ac:dyDescent="0.25">
      <c r="A297" s="190"/>
      <c r="B297" s="190"/>
    </row>
    <row r="298" spans="1:2" ht="63.75" customHeight="1" x14ac:dyDescent="0.25">
      <c r="A298" s="190"/>
      <c r="B298" s="190"/>
    </row>
    <row r="299" spans="1:2" ht="63.75" customHeight="1" x14ac:dyDescent="0.25">
      <c r="A299" s="190"/>
      <c r="B299" s="190"/>
    </row>
    <row r="300" spans="1:2" ht="63.75" customHeight="1" x14ac:dyDescent="0.25">
      <c r="A300" s="190"/>
      <c r="B300" s="190"/>
    </row>
    <row r="301" spans="1:2" ht="63.75" customHeight="1" x14ac:dyDescent="0.25">
      <c r="A301" s="190"/>
      <c r="B301" s="190"/>
    </row>
    <row r="302" spans="1:2" ht="63.75" customHeight="1" x14ac:dyDescent="0.25">
      <c r="A302" s="190"/>
      <c r="B302" s="190"/>
    </row>
    <row r="303" spans="1:2" ht="63.75" customHeight="1" x14ac:dyDescent="0.25">
      <c r="A303" s="190"/>
      <c r="B303" s="190"/>
    </row>
    <row r="304" spans="1:2" ht="63.75" customHeight="1" x14ac:dyDescent="0.25">
      <c r="A304" s="190"/>
      <c r="B304" s="190"/>
    </row>
    <row r="305" spans="1:2" ht="63.75" customHeight="1" x14ac:dyDescent="0.25">
      <c r="A305" s="190"/>
      <c r="B305" s="190"/>
    </row>
    <row r="306" spans="1:2" ht="63.75" customHeight="1" x14ac:dyDescent="0.25">
      <c r="A306" s="190"/>
      <c r="B306" s="190"/>
    </row>
    <row r="307" spans="1:2" ht="63.75" customHeight="1" x14ac:dyDescent="0.25">
      <c r="A307" s="190"/>
      <c r="B307" s="190"/>
    </row>
    <row r="308" spans="1:2" ht="63.75" customHeight="1" x14ac:dyDescent="0.25">
      <c r="A308" s="190"/>
      <c r="B308" s="190"/>
    </row>
    <row r="309" spans="1:2" ht="63.75" customHeight="1" x14ac:dyDescent="0.25">
      <c r="A309" s="190"/>
      <c r="B309" s="190"/>
    </row>
    <row r="310" spans="1:2" ht="63.75" customHeight="1" x14ac:dyDescent="0.25">
      <c r="A310" s="190"/>
      <c r="B310" s="190"/>
    </row>
    <row r="311" spans="1:2" ht="63.75" customHeight="1" x14ac:dyDescent="0.25">
      <c r="A311" s="190"/>
      <c r="B311" s="190"/>
    </row>
    <row r="312" spans="1:2" ht="63.75" customHeight="1" x14ac:dyDescent="0.25">
      <c r="A312" s="190"/>
      <c r="B312" s="190"/>
    </row>
    <row r="313" spans="1:2" ht="63.75" customHeight="1" x14ac:dyDescent="0.25">
      <c r="A313" s="190"/>
      <c r="B313" s="190"/>
    </row>
    <row r="314" spans="1:2" ht="63.75" customHeight="1" x14ac:dyDescent="0.25">
      <c r="A314" s="190"/>
      <c r="B314" s="190"/>
    </row>
    <row r="315" spans="1:2" ht="63.75" customHeight="1" x14ac:dyDescent="0.25">
      <c r="A315" s="190"/>
      <c r="B315" s="190"/>
    </row>
    <row r="316" spans="1:2" ht="63.75" customHeight="1" x14ac:dyDescent="0.25">
      <c r="A316" s="190"/>
      <c r="B316" s="190"/>
    </row>
    <row r="317" spans="1:2" ht="63.75" customHeight="1" x14ac:dyDescent="0.25">
      <c r="A317" s="190"/>
      <c r="B317" s="190"/>
    </row>
    <row r="318" spans="1:2" ht="63.75" customHeight="1" x14ac:dyDescent="0.25">
      <c r="A318" s="190"/>
      <c r="B318" s="190"/>
    </row>
    <row r="319" spans="1:2" ht="63.75" customHeight="1" x14ac:dyDescent="0.25">
      <c r="A319" s="190"/>
      <c r="B319" s="190"/>
    </row>
    <row r="320" spans="1:2" ht="63.75" customHeight="1" x14ac:dyDescent="0.25">
      <c r="A320" s="190"/>
      <c r="B320" s="190"/>
    </row>
    <row r="321" spans="1:2" ht="63.75" customHeight="1" x14ac:dyDescent="0.25">
      <c r="A321" s="190"/>
      <c r="B321" s="190"/>
    </row>
    <row r="322" spans="1:2" ht="63.75" customHeight="1" x14ac:dyDescent="0.25">
      <c r="A322" s="190"/>
      <c r="B322" s="190"/>
    </row>
    <row r="323" spans="1:2" ht="63.75" customHeight="1" x14ac:dyDescent="0.25">
      <c r="A323" s="190"/>
      <c r="B323" s="190"/>
    </row>
    <row r="324" spans="1:2" ht="63.75" customHeight="1" x14ac:dyDescent="0.25">
      <c r="A324" s="190"/>
      <c r="B324" s="190"/>
    </row>
    <row r="325" spans="1:2" ht="63.75" customHeight="1" x14ac:dyDescent="0.25">
      <c r="A325" s="190"/>
      <c r="B325" s="190"/>
    </row>
    <row r="326" spans="1:2" ht="63.75" customHeight="1" x14ac:dyDescent="0.25">
      <c r="A326" s="190"/>
      <c r="B326" s="190"/>
    </row>
    <row r="327" spans="1:2" ht="63.75" customHeight="1" x14ac:dyDescent="0.25">
      <c r="A327" s="190"/>
      <c r="B327" s="190"/>
    </row>
    <row r="328" spans="1:2" ht="63.75" customHeight="1" x14ac:dyDescent="0.25">
      <c r="A328" s="190"/>
      <c r="B328" s="190"/>
    </row>
    <row r="329" spans="1:2" ht="63.75" customHeight="1" x14ac:dyDescent="0.25">
      <c r="A329" s="190"/>
      <c r="B329" s="190"/>
    </row>
    <row r="330" spans="1:2" ht="63.75" customHeight="1" x14ac:dyDescent="0.25">
      <c r="A330" s="190"/>
      <c r="B330" s="190"/>
    </row>
    <row r="331" spans="1:2" ht="63.75" customHeight="1" x14ac:dyDescent="0.25">
      <c r="A331" s="190"/>
      <c r="B331" s="190"/>
    </row>
    <row r="332" spans="1:2" ht="63.75" customHeight="1" x14ac:dyDescent="0.25">
      <c r="A332" s="190"/>
      <c r="B332" s="190"/>
    </row>
    <row r="333" spans="1:2" ht="63.75" customHeight="1" x14ac:dyDescent="0.25">
      <c r="A333" s="190"/>
      <c r="B333" s="190"/>
    </row>
    <row r="334" spans="1:2" ht="63.75" customHeight="1" x14ac:dyDescent="0.25">
      <c r="A334" s="190"/>
      <c r="B334" s="190"/>
    </row>
    <row r="335" spans="1:2" ht="63.75" customHeight="1" x14ac:dyDescent="0.25">
      <c r="A335" s="190"/>
      <c r="B335" s="190"/>
    </row>
    <row r="336" spans="1:2" ht="63.75" customHeight="1" x14ac:dyDescent="0.25">
      <c r="A336" s="190"/>
      <c r="B336" s="190"/>
    </row>
    <row r="337" spans="1:2" ht="63.75" customHeight="1" x14ac:dyDescent="0.25">
      <c r="A337" s="190"/>
      <c r="B337" s="190"/>
    </row>
    <row r="338" spans="1:2" ht="63.75" customHeight="1" x14ac:dyDescent="0.25">
      <c r="A338" s="190"/>
      <c r="B338" s="190"/>
    </row>
    <row r="339" spans="1:2" ht="63.75" customHeight="1" x14ac:dyDescent="0.25">
      <c r="A339" s="190"/>
      <c r="B339" s="190"/>
    </row>
    <row r="340" spans="1:2" ht="63.75" customHeight="1" x14ac:dyDescent="0.25">
      <c r="A340" s="190"/>
      <c r="B340" s="190"/>
    </row>
    <row r="341" spans="1:2" ht="63.75" customHeight="1" x14ac:dyDescent="0.25">
      <c r="A341" s="190"/>
      <c r="B341" s="190"/>
    </row>
    <row r="342" spans="1:2" ht="63.75" customHeight="1" x14ac:dyDescent="0.25">
      <c r="A342" s="190"/>
      <c r="B342" s="190"/>
    </row>
    <row r="343" spans="1:2" ht="63.75" customHeight="1" x14ac:dyDescent="0.25">
      <c r="A343" s="190"/>
      <c r="B343" s="190"/>
    </row>
    <row r="344" spans="1:2" ht="63.75" customHeight="1" x14ac:dyDescent="0.25">
      <c r="A344" s="190"/>
      <c r="B344" s="190"/>
    </row>
    <row r="345" spans="1:2" ht="63.75" customHeight="1" x14ac:dyDescent="0.25">
      <c r="A345" s="190"/>
      <c r="B345" s="190"/>
    </row>
    <row r="346" spans="1:2" ht="63.75" customHeight="1" x14ac:dyDescent="0.25">
      <c r="A346" s="190"/>
      <c r="B346" s="190"/>
    </row>
    <row r="347" spans="1:2" ht="63.75" customHeight="1" x14ac:dyDescent="0.25">
      <c r="A347" s="190"/>
      <c r="B347" s="190"/>
    </row>
    <row r="348" spans="1:2" ht="63.75" customHeight="1" x14ac:dyDescent="0.25">
      <c r="A348" s="190"/>
      <c r="B348" s="190"/>
    </row>
    <row r="349" spans="1:2" ht="63.75" customHeight="1" x14ac:dyDescent="0.25">
      <c r="A349" s="190"/>
      <c r="B349" s="190"/>
    </row>
    <row r="350" spans="1:2" ht="63.75" customHeight="1" x14ac:dyDescent="0.25">
      <c r="A350" s="190"/>
      <c r="B350" s="190"/>
    </row>
    <row r="351" spans="1:2" ht="63.75" customHeight="1" x14ac:dyDescent="0.25">
      <c r="A351" s="190"/>
      <c r="B351" s="190"/>
    </row>
    <row r="352" spans="1:2" ht="63.75" customHeight="1" x14ac:dyDescent="0.25">
      <c r="A352" s="190"/>
      <c r="B352" s="190"/>
    </row>
    <row r="353" spans="1:2" ht="63.75" customHeight="1" x14ac:dyDescent="0.25">
      <c r="A353" s="190"/>
      <c r="B353" s="190"/>
    </row>
    <row r="354" spans="1:2" ht="63.75" customHeight="1" x14ac:dyDescent="0.25">
      <c r="A354" s="190"/>
      <c r="B354" s="190"/>
    </row>
    <row r="355" spans="1:2" ht="63.75" customHeight="1" x14ac:dyDescent="0.25">
      <c r="A355" s="190"/>
      <c r="B355" s="190"/>
    </row>
    <row r="356" spans="1:2" ht="63.75" customHeight="1" x14ac:dyDescent="0.25">
      <c r="A356" s="190"/>
      <c r="B356" s="190"/>
    </row>
    <row r="357" spans="1:2" ht="63.75" customHeight="1" x14ac:dyDescent="0.25">
      <c r="A357" s="190"/>
      <c r="B357" s="190"/>
    </row>
    <row r="358" spans="1:2" ht="63.75" customHeight="1" x14ac:dyDescent="0.25">
      <c r="A358" s="190"/>
      <c r="B358" s="190"/>
    </row>
    <row r="359" spans="1:2" ht="63.75" customHeight="1" x14ac:dyDescent="0.25">
      <c r="A359" s="190"/>
      <c r="B359" s="190"/>
    </row>
    <row r="360" spans="1:2" ht="63.75" customHeight="1" x14ac:dyDescent="0.25">
      <c r="A360" s="190"/>
      <c r="B360" s="190"/>
    </row>
    <row r="361" spans="1:2" ht="63.75" customHeight="1" x14ac:dyDescent="0.25">
      <c r="A361" s="190"/>
      <c r="B361" s="190"/>
    </row>
    <row r="362" spans="1:2" ht="63.75" customHeight="1" x14ac:dyDescent="0.25">
      <c r="A362" s="190"/>
      <c r="B362" s="190"/>
    </row>
    <row r="363" spans="1:2" ht="63.75" customHeight="1" x14ac:dyDescent="0.25">
      <c r="A363" s="190"/>
      <c r="B363" s="190"/>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zoomScale="85" zoomScaleNormal="85" workbookViewId="0">
      <pane ySplit="1" topLeftCell="A8" activePane="bottomLeft" state="frozen"/>
      <selection pane="bottomLeft" activeCell="A20" sqref="A20"/>
    </sheetView>
  </sheetViews>
  <sheetFormatPr defaultColWidth="13.28515625" defaultRowHeight="15" x14ac:dyDescent="0.25"/>
  <cols>
    <col min="1" max="1" width="48.42578125" style="186" customWidth="1"/>
    <col min="2" max="2" width="13.42578125" style="95" bestFit="1" customWidth="1"/>
    <col min="3" max="3" width="13.28515625" style="95" customWidth="1"/>
    <col min="4" max="4" width="16.140625" style="95" customWidth="1"/>
    <col min="5" max="5" width="21.42578125" style="95" customWidth="1"/>
    <col min="6" max="6" width="17.42578125" style="95" customWidth="1"/>
    <col min="7" max="8" width="13.28515625" style="95" customWidth="1"/>
    <col min="9" max="9" width="22.85546875" style="95" customWidth="1"/>
  </cols>
  <sheetData>
    <row r="1" spans="1:11" ht="31.5" x14ac:dyDescent="0.25">
      <c r="A1" s="174" t="s">
        <v>0</v>
      </c>
      <c r="B1" s="19" t="s">
        <v>1</v>
      </c>
      <c r="C1" s="19" t="s">
        <v>2</v>
      </c>
      <c r="D1" s="19" t="s">
        <v>3</v>
      </c>
      <c r="E1" s="19" t="s">
        <v>4</v>
      </c>
      <c r="F1" s="19" t="s">
        <v>5</v>
      </c>
      <c r="G1" s="19" t="s">
        <v>6</v>
      </c>
      <c r="H1" s="19" t="s">
        <v>7</v>
      </c>
      <c r="I1" s="19" t="s">
        <v>8</v>
      </c>
    </row>
    <row r="3" spans="1:11" ht="24" x14ac:dyDescent="0.25">
      <c r="A3" s="170" t="s">
        <v>9</v>
      </c>
      <c r="B3" s="83" t="s">
        <v>10</v>
      </c>
      <c r="C3" s="21">
        <v>2023</v>
      </c>
      <c r="D3" s="147" t="s">
        <v>11</v>
      </c>
      <c r="E3" s="130" t="s">
        <v>12</v>
      </c>
      <c r="F3" s="130" t="s">
        <v>12</v>
      </c>
      <c r="G3" s="21"/>
      <c r="H3" s="21">
        <v>5</v>
      </c>
      <c r="I3" s="22" t="s">
        <v>13</v>
      </c>
    </row>
    <row r="4" spans="1:11" ht="45" x14ac:dyDescent="0.25">
      <c r="A4" s="175" t="s">
        <v>14</v>
      </c>
      <c r="B4" s="120" t="s">
        <v>15</v>
      </c>
      <c r="C4" s="121">
        <v>2023</v>
      </c>
      <c r="D4" s="147" t="s">
        <v>11</v>
      </c>
      <c r="E4" s="22" t="s">
        <v>16</v>
      </c>
      <c r="F4" s="21" t="s">
        <v>17</v>
      </c>
      <c r="G4" s="21" t="s">
        <v>18</v>
      </c>
      <c r="H4" s="21">
        <v>4</v>
      </c>
      <c r="I4" s="22" t="s">
        <v>19</v>
      </c>
      <c r="K4" t="s">
        <v>11</v>
      </c>
    </row>
    <row r="5" spans="1:11" ht="45" x14ac:dyDescent="0.25">
      <c r="A5" s="170" t="s">
        <v>20</v>
      </c>
      <c r="B5" s="83" t="s">
        <v>21</v>
      </c>
      <c r="C5" s="22">
        <v>2022</v>
      </c>
      <c r="D5" s="148" t="s">
        <v>11</v>
      </c>
      <c r="E5" s="22" t="s">
        <v>22</v>
      </c>
      <c r="F5" s="22" t="s">
        <v>23</v>
      </c>
      <c r="G5" s="22" t="s">
        <v>24</v>
      </c>
      <c r="H5" s="22" t="s">
        <v>25</v>
      </c>
      <c r="I5" s="22" t="s">
        <v>26</v>
      </c>
    </row>
    <row r="6" spans="1:11" ht="30" x14ac:dyDescent="0.25">
      <c r="A6" s="170" t="s">
        <v>27</v>
      </c>
      <c r="B6" s="83" t="s">
        <v>28</v>
      </c>
      <c r="C6" s="22">
        <v>2022</v>
      </c>
      <c r="D6" s="152" t="s">
        <v>29</v>
      </c>
      <c r="E6" s="130" t="s">
        <v>12</v>
      </c>
      <c r="F6" s="22" t="s">
        <v>30</v>
      </c>
      <c r="G6" s="22" t="s">
        <v>31</v>
      </c>
      <c r="H6" s="22">
        <v>8</v>
      </c>
      <c r="I6" s="22" t="s">
        <v>32</v>
      </c>
    </row>
    <row r="7" spans="1:11" ht="45" x14ac:dyDescent="0.25">
      <c r="A7" s="170" t="s">
        <v>33</v>
      </c>
      <c r="B7" s="83" t="s">
        <v>34</v>
      </c>
      <c r="C7" s="22">
        <v>2022</v>
      </c>
      <c r="D7" s="147" t="s">
        <v>11</v>
      </c>
      <c r="E7" s="22" t="s">
        <v>16</v>
      </c>
      <c r="F7" s="21" t="s">
        <v>17</v>
      </c>
      <c r="G7" s="22" t="s">
        <v>31</v>
      </c>
      <c r="H7" s="22">
        <v>4</v>
      </c>
      <c r="I7" s="22" t="s">
        <v>35</v>
      </c>
    </row>
    <row r="8" spans="1:11" ht="36" x14ac:dyDescent="0.25">
      <c r="A8" s="170" t="s">
        <v>36</v>
      </c>
      <c r="B8" s="83" t="s">
        <v>37</v>
      </c>
      <c r="C8" s="22">
        <v>2022</v>
      </c>
      <c r="D8" s="16" t="s">
        <v>38</v>
      </c>
      <c r="E8" s="130" t="s">
        <v>12</v>
      </c>
      <c r="F8" s="130" t="s">
        <v>12</v>
      </c>
      <c r="G8" s="130" t="s">
        <v>12</v>
      </c>
      <c r="H8" s="22">
        <v>8</v>
      </c>
      <c r="I8" s="22" t="s">
        <v>39</v>
      </c>
    </row>
    <row r="9" spans="1:11" x14ac:dyDescent="0.25">
      <c r="A9" s="170" t="s">
        <v>40</v>
      </c>
      <c r="B9" s="83" t="s">
        <v>41</v>
      </c>
      <c r="C9" s="22">
        <v>2018</v>
      </c>
      <c r="D9" s="148" t="s">
        <v>11</v>
      </c>
      <c r="E9" s="130" t="s">
        <v>12</v>
      </c>
      <c r="F9" s="22" t="s">
        <v>42</v>
      </c>
      <c r="G9" s="22" t="s">
        <v>43</v>
      </c>
      <c r="H9" s="22">
        <v>8</v>
      </c>
      <c r="I9" s="22" t="s">
        <v>19</v>
      </c>
    </row>
    <row r="10" spans="1:11" ht="48" x14ac:dyDescent="0.25">
      <c r="A10" s="170" t="s">
        <v>44</v>
      </c>
      <c r="B10" s="83" t="s">
        <v>45</v>
      </c>
      <c r="C10" s="22">
        <v>2022</v>
      </c>
      <c r="D10" s="148" t="s">
        <v>11</v>
      </c>
      <c r="E10" s="130" t="s">
        <v>12</v>
      </c>
      <c r="F10" s="130" t="s">
        <v>12</v>
      </c>
      <c r="G10" s="22" t="s">
        <v>46</v>
      </c>
      <c r="H10" s="22">
        <v>9</v>
      </c>
      <c r="I10" s="22" t="s">
        <v>47</v>
      </c>
    </row>
    <row r="11" spans="1:11" ht="45" x14ac:dyDescent="0.25">
      <c r="A11" s="170" t="s">
        <v>48</v>
      </c>
      <c r="B11" s="83" t="s">
        <v>49</v>
      </c>
      <c r="C11" s="22">
        <v>2021</v>
      </c>
      <c r="D11" s="22" t="s">
        <v>50</v>
      </c>
      <c r="E11" s="22" t="s">
        <v>51</v>
      </c>
      <c r="F11" s="157" t="s">
        <v>52</v>
      </c>
      <c r="G11" s="22" t="s">
        <v>31</v>
      </c>
      <c r="H11" s="22" t="s">
        <v>53</v>
      </c>
      <c r="I11" s="22" t="s">
        <v>54</v>
      </c>
    </row>
    <row r="12" spans="1:11" ht="60" x14ac:dyDescent="0.25">
      <c r="A12" s="170" t="s">
        <v>55</v>
      </c>
      <c r="B12" s="83" t="s">
        <v>56</v>
      </c>
      <c r="C12" s="22">
        <v>2021</v>
      </c>
      <c r="D12" s="16" t="s">
        <v>57</v>
      </c>
      <c r="E12" s="22" t="s">
        <v>58</v>
      </c>
      <c r="F12" s="22"/>
      <c r="G12" s="22" t="s">
        <v>59</v>
      </c>
      <c r="H12" s="22">
        <v>6</v>
      </c>
      <c r="I12" s="22" t="s">
        <v>60</v>
      </c>
    </row>
    <row r="13" spans="1:11" ht="36" x14ac:dyDescent="0.25">
      <c r="A13" s="170" t="s">
        <v>61</v>
      </c>
      <c r="B13" s="83" t="s">
        <v>62</v>
      </c>
      <c r="C13" s="22">
        <v>2021</v>
      </c>
      <c r="D13" s="22" t="s">
        <v>50</v>
      </c>
      <c r="E13" s="22" t="s">
        <v>63</v>
      </c>
      <c r="F13" s="130" t="s">
        <v>12</v>
      </c>
      <c r="G13" s="22" t="s">
        <v>31</v>
      </c>
      <c r="H13" s="22" t="s">
        <v>64</v>
      </c>
      <c r="I13" s="22" t="s">
        <v>54</v>
      </c>
    </row>
    <row r="14" spans="1:11" ht="30" x14ac:dyDescent="0.25">
      <c r="A14" s="170" t="s">
        <v>65</v>
      </c>
      <c r="B14" s="83" t="s">
        <v>66</v>
      </c>
      <c r="C14" s="22">
        <v>2021</v>
      </c>
      <c r="D14" s="148" t="s">
        <v>11</v>
      </c>
      <c r="E14" s="130" t="s">
        <v>12</v>
      </c>
      <c r="F14" s="22" t="s">
        <v>67</v>
      </c>
      <c r="G14" s="22" t="s">
        <v>31</v>
      </c>
      <c r="H14" s="22">
        <v>6</v>
      </c>
      <c r="I14" s="22" t="s">
        <v>68</v>
      </c>
    </row>
    <row r="15" spans="1:11" ht="45" x14ac:dyDescent="0.25">
      <c r="A15" s="170" t="s">
        <v>69</v>
      </c>
      <c r="B15" s="83" t="s">
        <v>70</v>
      </c>
      <c r="C15" s="22">
        <v>2021</v>
      </c>
      <c r="D15" s="22" t="s">
        <v>54</v>
      </c>
      <c r="E15" s="22" t="s">
        <v>71</v>
      </c>
      <c r="F15" s="22" t="s">
        <v>72</v>
      </c>
      <c r="G15" s="22" t="s">
        <v>31</v>
      </c>
      <c r="H15" s="22" t="s">
        <v>73</v>
      </c>
      <c r="I15" s="22" t="s">
        <v>74</v>
      </c>
    </row>
    <row r="16" spans="1:11" ht="30" x14ac:dyDescent="0.25">
      <c r="A16" s="170" t="s">
        <v>75</v>
      </c>
      <c r="B16" s="83" t="s">
        <v>76</v>
      </c>
      <c r="C16" s="22">
        <v>2021</v>
      </c>
      <c r="D16" s="16" t="s">
        <v>57</v>
      </c>
      <c r="E16" s="22" t="s">
        <v>77</v>
      </c>
      <c r="F16" s="130" t="s">
        <v>12</v>
      </c>
      <c r="G16" s="22" t="s">
        <v>78</v>
      </c>
      <c r="H16" s="22">
        <v>10</v>
      </c>
      <c r="I16" s="22" t="s">
        <v>79</v>
      </c>
    </row>
    <row r="18" spans="1:9" ht="45" x14ac:dyDescent="0.25">
      <c r="A18" s="176" t="s">
        <v>80</v>
      </c>
      <c r="B18" s="124" t="s">
        <v>81</v>
      </c>
      <c r="C18" s="124">
        <v>2021</v>
      </c>
      <c r="D18" s="22" t="s">
        <v>50</v>
      </c>
      <c r="E18" s="130" t="s">
        <v>12</v>
      </c>
      <c r="F18" s="130" t="s">
        <v>12</v>
      </c>
      <c r="G18" s="22" t="s">
        <v>31</v>
      </c>
      <c r="H18" s="22" t="s">
        <v>64</v>
      </c>
      <c r="I18" s="45" t="s">
        <v>82</v>
      </c>
    </row>
    <row r="19" spans="1:9" x14ac:dyDescent="0.25">
      <c r="A19" s="176" t="s">
        <v>83</v>
      </c>
      <c r="B19" s="124" t="s">
        <v>84</v>
      </c>
      <c r="C19" s="124">
        <v>2022</v>
      </c>
      <c r="D19" s="124" t="s">
        <v>50</v>
      </c>
      <c r="E19" s="124" t="s">
        <v>85</v>
      </c>
      <c r="F19" s="130" t="s">
        <v>12</v>
      </c>
      <c r="G19" s="124" t="s">
        <v>46</v>
      </c>
      <c r="H19" s="124">
        <v>64</v>
      </c>
      <c r="I19" s="124" t="s">
        <v>86</v>
      </c>
    </row>
    <row r="20" spans="1:9" ht="45" x14ac:dyDescent="0.25">
      <c r="A20" s="176" t="s">
        <v>87</v>
      </c>
      <c r="B20" s="124" t="s">
        <v>88</v>
      </c>
      <c r="C20" s="124">
        <v>2022</v>
      </c>
      <c r="D20" s="112" t="s">
        <v>89</v>
      </c>
      <c r="E20" s="130" t="s">
        <v>12</v>
      </c>
      <c r="F20" s="130" t="s">
        <v>12</v>
      </c>
      <c r="G20" s="45" t="s">
        <v>90</v>
      </c>
      <c r="H20" s="124">
        <v>9</v>
      </c>
      <c r="I20" s="124" t="s">
        <v>19</v>
      </c>
    </row>
    <row r="21" spans="1:9" ht="45" x14ac:dyDescent="0.25">
      <c r="A21" s="177" t="s">
        <v>91</v>
      </c>
      <c r="B21" s="123" t="s">
        <v>92</v>
      </c>
      <c r="C21" s="123">
        <v>2022</v>
      </c>
      <c r="D21" s="112" t="s">
        <v>89</v>
      </c>
      <c r="E21" s="45" t="s">
        <v>93</v>
      </c>
      <c r="F21" s="130" t="s">
        <v>12</v>
      </c>
      <c r="G21" s="22" t="s">
        <v>31</v>
      </c>
      <c r="H21" s="124" t="s">
        <v>94</v>
      </c>
      <c r="I21" s="124" t="s">
        <v>95</v>
      </c>
    </row>
    <row r="22" spans="1:9" ht="45" x14ac:dyDescent="0.25">
      <c r="A22" s="177" t="s">
        <v>96</v>
      </c>
      <c r="B22" s="123" t="s">
        <v>97</v>
      </c>
      <c r="C22" s="123">
        <v>2020</v>
      </c>
      <c r="D22" s="123" t="s">
        <v>98</v>
      </c>
      <c r="E22" s="96" t="s">
        <v>99</v>
      </c>
      <c r="F22" s="123" t="s">
        <v>100</v>
      </c>
      <c r="G22" s="123" t="s">
        <v>31</v>
      </c>
      <c r="H22" s="123">
        <v>6</v>
      </c>
      <c r="I22" s="96" t="s">
        <v>101</v>
      </c>
    </row>
    <row r="23" spans="1:9" ht="30" x14ac:dyDescent="0.25">
      <c r="A23" s="176" t="s">
        <v>102</v>
      </c>
      <c r="B23" s="124" t="s">
        <v>103</v>
      </c>
      <c r="C23" s="124">
        <v>2010</v>
      </c>
      <c r="D23" s="45" t="s">
        <v>104</v>
      </c>
      <c r="E23" s="124"/>
      <c r="F23" s="124"/>
      <c r="G23" s="124" t="s">
        <v>18</v>
      </c>
      <c r="H23" s="124">
        <v>6</v>
      </c>
      <c r="I23" s="124"/>
    </row>
    <row r="24" spans="1:9" ht="30" x14ac:dyDescent="0.25">
      <c r="A24" s="178" t="s">
        <v>105</v>
      </c>
      <c r="B24" s="124" t="s">
        <v>106</v>
      </c>
      <c r="C24" s="124">
        <v>2018</v>
      </c>
      <c r="D24" s="67" t="s">
        <v>107</v>
      </c>
      <c r="E24" s="133" t="s">
        <v>108</v>
      </c>
      <c r="F24" s="133"/>
      <c r="G24" s="124"/>
      <c r="H24" s="124">
        <v>9</v>
      </c>
      <c r="I24" s="124"/>
    </row>
    <row r="25" spans="1:9" ht="45" x14ac:dyDescent="0.25">
      <c r="A25" s="179" t="s">
        <v>109</v>
      </c>
      <c r="B25" s="143" t="s">
        <v>110</v>
      </c>
      <c r="C25" s="143">
        <v>2018</v>
      </c>
      <c r="D25" s="143" t="s">
        <v>111</v>
      </c>
      <c r="E25" s="142" t="s">
        <v>112</v>
      </c>
      <c r="F25" s="143" t="s">
        <v>113</v>
      </c>
      <c r="G25" s="143" t="s">
        <v>114</v>
      </c>
      <c r="H25" s="143">
        <v>1</v>
      </c>
      <c r="I25" s="143" t="s">
        <v>115</v>
      </c>
    </row>
    <row r="26" spans="1:9" ht="24.75" x14ac:dyDescent="0.25">
      <c r="A26" s="180" t="s">
        <v>116</v>
      </c>
      <c r="B26" s="95" t="s">
        <v>117</v>
      </c>
      <c r="C26" s="95">
        <v>2018</v>
      </c>
      <c r="D26" s="95" t="s">
        <v>118</v>
      </c>
      <c r="F26" s="95" t="s">
        <v>119</v>
      </c>
      <c r="G26" s="95" t="s">
        <v>120</v>
      </c>
      <c r="H26" s="95">
        <v>4</v>
      </c>
    </row>
    <row r="28" spans="1:9" x14ac:dyDescent="0.25">
      <c r="A28" s="181" t="s">
        <v>121</v>
      </c>
    </row>
    <row r="30" spans="1:9" ht="30" x14ac:dyDescent="0.25">
      <c r="A30" s="170" t="s">
        <v>122</v>
      </c>
      <c r="B30" s="83" t="s">
        <v>123</v>
      </c>
      <c r="C30" s="22">
        <v>2021</v>
      </c>
      <c r="D30" s="149" t="s">
        <v>124</v>
      </c>
      <c r="E30" s="22"/>
      <c r="F30" s="22"/>
      <c r="G30" s="22" t="s">
        <v>125</v>
      </c>
      <c r="H30" s="22"/>
      <c r="I30" s="22" t="s">
        <v>126</v>
      </c>
    </row>
    <row r="31" spans="1:9" ht="45" x14ac:dyDescent="0.25">
      <c r="A31" s="170" t="s">
        <v>127</v>
      </c>
      <c r="B31" s="22" t="s">
        <v>128</v>
      </c>
      <c r="C31" s="1">
        <v>2023</v>
      </c>
      <c r="D31" s="151" t="s">
        <v>129</v>
      </c>
      <c r="E31" s="20"/>
      <c r="F31" s="20"/>
      <c r="G31" s="20" t="s">
        <v>130</v>
      </c>
      <c r="H31" s="20"/>
      <c r="I31" s="11" t="s">
        <v>131</v>
      </c>
    </row>
    <row r="32" spans="1:9" ht="30" x14ac:dyDescent="0.25">
      <c r="A32" s="170" t="s">
        <v>132</v>
      </c>
      <c r="B32" s="83" t="s">
        <v>133</v>
      </c>
      <c r="C32" s="22">
        <v>2022</v>
      </c>
      <c r="D32" s="149" t="s">
        <v>124</v>
      </c>
      <c r="E32" s="22"/>
      <c r="F32" s="22" t="s">
        <v>134</v>
      </c>
      <c r="G32" s="22" t="s">
        <v>114</v>
      </c>
      <c r="H32" s="22">
        <v>2</v>
      </c>
      <c r="I32" s="22" t="s">
        <v>135</v>
      </c>
    </row>
    <row r="33" spans="1:9" ht="41.25" customHeight="1" x14ac:dyDescent="0.25">
      <c r="A33" s="182" t="s">
        <v>136</v>
      </c>
    </row>
    <row r="34" spans="1:9" ht="45" x14ac:dyDescent="0.25">
      <c r="A34" s="171" t="s">
        <v>137</v>
      </c>
      <c r="B34" s="140" t="s">
        <v>138</v>
      </c>
      <c r="C34" s="141">
        <v>2023</v>
      </c>
      <c r="D34" s="141" t="s">
        <v>139</v>
      </c>
      <c r="E34" s="20"/>
      <c r="F34" s="20"/>
      <c r="G34" s="20"/>
      <c r="H34" s="20" t="s">
        <v>140</v>
      </c>
      <c r="I34" s="20" t="s">
        <v>141</v>
      </c>
    </row>
    <row r="35" spans="1:9" ht="45" x14ac:dyDescent="0.25">
      <c r="A35" s="171" t="s">
        <v>142</v>
      </c>
      <c r="B35" s="169" t="s">
        <v>143</v>
      </c>
      <c r="C35" s="139">
        <v>2023</v>
      </c>
      <c r="D35" s="139" t="s">
        <v>144</v>
      </c>
      <c r="E35" s="21"/>
      <c r="F35" s="21"/>
      <c r="G35" s="21"/>
      <c r="H35" s="21"/>
      <c r="I35" s="22" t="s">
        <v>145</v>
      </c>
    </row>
    <row r="36" spans="1:9" ht="45" x14ac:dyDescent="0.25">
      <c r="A36" s="172" t="s">
        <v>146</v>
      </c>
      <c r="B36" s="83" t="s">
        <v>138</v>
      </c>
      <c r="C36" s="22">
        <v>2022</v>
      </c>
      <c r="D36" s="21" t="s">
        <v>147</v>
      </c>
      <c r="E36" s="21"/>
      <c r="F36" s="21" t="s">
        <v>148</v>
      </c>
      <c r="G36" s="21"/>
      <c r="H36" s="21" t="s">
        <v>149</v>
      </c>
      <c r="I36" s="11" t="s">
        <v>150</v>
      </c>
    </row>
    <row r="37" spans="1:9" x14ac:dyDescent="0.25">
      <c r="A37" s="173"/>
      <c r="B37" s="94"/>
      <c r="C37" s="94"/>
      <c r="D37" s="94"/>
      <c r="E37" s="94"/>
      <c r="F37" s="94"/>
      <c r="G37" s="94"/>
      <c r="H37" s="94"/>
      <c r="I37" s="91"/>
    </row>
    <row r="39" spans="1:9" x14ac:dyDescent="0.25">
      <c r="A39" s="183" t="s">
        <v>151</v>
      </c>
    </row>
    <row r="40" spans="1:9" ht="24" x14ac:dyDescent="0.25">
      <c r="A40" s="170" t="s">
        <v>152</v>
      </c>
      <c r="B40" s="83" t="s">
        <v>153</v>
      </c>
      <c r="C40" s="22">
        <v>2022</v>
      </c>
      <c r="D40" s="22" t="s">
        <v>154</v>
      </c>
      <c r="E40" s="130" t="s">
        <v>12</v>
      </c>
      <c r="F40" s="130" t="s">
        <v>12</v>
      </c>
      <c r="G40" s="22"/>
      <c r="H40" s="22">
        <v>1</v>
      </c>
      <c r="I40" s="22" t="s">
        <v>155</v>
      </c>
    </row>
    <row r="41" spans="1:9" x14ac:dyDescent="0.25">
      <c r="A41" s="184" t="s">
        <v>156</v>
      </c>
    </row>
    <row r="42" spans="1:9" ht="30" x14ac:dyDescent="0.25">
      <c r="A42" s="170" t="s">
        <v>157</v>
      </c>
      <c r="B42" s="83" t="s">
        <v>158</v>
      </c>
      <c r="C42" s="22">
        <v>2021</v>
      </c>
      <c r="D42" s="22" t="s">
        <v>156</v>
      </c>
      <c r="E42" s="22"/>
      <c r="F42" s="22" t="s">
        <v>159</v>
      </c>
      <c r="G42" s="22"/>
      <c r="H42" s="22" t="s">
        <v>160</v>
      </c>
      <c r="I42" s="22" t="s">
        <v>156</v>
      </c>
    </row>
    <row r="43" spans="1:9" ht="30" x14ac:dyDescent="0.25">
      <c r="A43" s="185" t="s">
        <v>161</v>
      </c>
      <c r="B43" s="105" t="s">
        <v>162</v>
      </c>
      <c r="C43" s="105">
        <v>2022</v>
      </c>
      <c r="D43" s="105"/>
      <c r="E43" s="105"/>
      <c r="F43" s="105"/>
      <c r="G43" s="105"/>
      <c r="H43" s="105"/>
      <c r="I43" s="67" t="s">
        <v>163</v>
      </c>
    </row>
  </sheetData>
  <hyperlinks>
    <hyperlink ref="E21" r:id="rId1" xr:uid="{00000000-0004-0000-0100-000000000000}"/>
  </hyperlink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5"/>
  <sheetViews>
    <sheetView zoomScale="85" zoomScaleNormal="85" workbookViewId="0">
      <pane ySplit="1" topLeftCell="A33" activePane="bottomLeft" state="frozen"/>
      <selection pane="bottomLeft" activeCell="J3" sqref="J3"/>
    </sheetView>
  </sheetViews>
  <sheetFormatPr defaultColWidth="13.28515625" defaultRowHeight="15" x14ac:dyDescent="0.25"/>
  <cols>
    <col min="1" max="1" width="39.5703125" customWidth="1"/>
    <col min="2" max="2" width="13.42578125" style="95" customWidth="1"/>
    <col min="3" max="4" width="13.28515625" style="95" hidden="1" customWidth="1"/>
    <col min="5" max="5" width="16.140625" style="95" hidden="1" customWidth="1"/>
    <col min="6" max="6" width="21.42578125" style="95" hidden="1" customWidth="1"/>
    <col min="7" max="7" width="17.42578125" style="95" hidden="1" customWidth="1"/>
    <col min="8" max="8" width="13.28515625" style="95" hidden="1" customWidth="1"/>
    <col min="9" max="10" width="13.28515625" style="95" customWidth="1"/>
    <col min="11" max="14" width="22.85546875" style="95" hidden="1" customWidth="1"/>
    <col min="15" max="15" width="16.5703125" style="95" hidden="1" customWidth="1"/>
    <col min="16" max="16" width="10" style="95" customWidth="1"/>
    <col min="17" max="17" width="43.7109375" style="118" hidden="1" customWidth="1"/>
    <col min="18" max="18" width="22.140625" style="95" customWidth="1"/>
    <col min="19" max="19" width="34" style="95" customWidth="1"/>
    <col min="20" max="21" width="20.140625" style="95" customWidth="1"/>
    <col min="22" max="22" width="9.140625" style="95"/>
    <col min="23" max="23" width="21.85546875" style="95" bestFit="1" customWidth="1"/>
    <col min="24" max="25" width="21.85546875" style="95" customWidth="1"/>
  </cols>
  <sheetData>
    <row r="1" spans="1:25" ht="31.5" x14ac:dyDescent="0.25">
      <c r="A1" s="5" t="s">
        <v>0</v>
      </c>
      <c r="B1" s="19" t="s">
        <v>1</v>
      </c>
      <c r="C1" s="19" t="s">
        <v>2</v>
      </c>
      <c r="D1" s="19" t="s">
        <v>164</v>
      </c>
      <c r="E1" s="19" t="s">
        <v>3</v>
      </c>
      <c r="F1" s="19" t="s">
        <v>4</v>
      </c>
      <c r="G1" s="19" t="s">
        <v>5</v>
      </c>
      <c r="H1" s="19" t="s">
        <v>6</v>
      </c>
      <c r="I1" s="19"/>
      <c r="J1" s="19" t="s">
        <v>7</v>
      </c>
      <c r="K1" s="19" t="s">
        <v>8</v>
      </c>
      <c r="L1" s="19" t="s">
        <v>165</v>
      </c>
      <c r="M1" s="19" t="s">
        <v>166</v>
      </c>
      <c r="N1" s="19" t="s">
        <v>167</v>
      </c>
      <c r="O1" s="19" t="s">
        <v>168</v>
      </c>
      <c r="P1" s="19" t="s">
        <v>169</v>
      </c>
      <c r="Q1" s="162" t="s">
        <v>170</v>
      </c>
      <c r="R1" s="122" t="s">
        <v>171</v>
      </c>
      <c r="S1" s="19" t="s">
        <v>172</v>
      </c>
      <c r="T1" s="19" t="s">
        <v>173</v>
      </c>
      <c r="U1" s="19" t="s">
        <v>174</v>
      </c>
      <c r="V1" s="19" t="s">
        <v>175</v>
      </c>
      <c r="W1" s="19" t="s">
        <v>176</v>
      </c>
      <c r="X1" s="19" t="s">
        <v>177</v>
      </c>
      <c r="Y1" s="19" t="s">
        <v>178</v>
      </c>
    </row>
    <row r="3" spans="1:25" ht="60" x14ac:dyDescent="0.25">
      <c r="A3" s="1" t="s">
        <v>9</v>
      </c>
      <c r="B3" s="83" t="s">
        <v>10</v>
      </c>
      <c r="C3" s="21">
        <v>2023</v>
      </c>
      <c r="D3" s="21" t="s">
        <v>179</v>
      </c>
      <c r="E3" s="21" t="s">
        <v>54</v>
      </c>
      <c r="F3" s="130" t="s">
        <v>12</v>
      </c>
      <c r="G3" s="130" t="s">
        <v>12</v>
      </c>
      <c r="H3" s="21"/>
      <c r="I3" s="188" t="s">
        <v>180</v>
      </c>
      <c r="J3" s="21">
        <v>5</v>
      </c>
      <c r="K3" s="22" t="s">
        <v>13</v>
      </c>
      <c r="L3" s="22" t="s">
        <v>12</v>
      </c>
      <c r="M3" s="22" t="s">
        <v>12</v>
      </c>
      <c r="N3" s="22" t="s">
        <v>181</v>
      </c>
      <c r="O3" s="22" t="s">
        <v>182</v>
      </c>
      <c r="P3" s="22">
        <v>6</v>
      </c>
      <c r="Q3" s="1" t="s">
        <v>183</v>
      </c>
      <c r="R3" s="22" t="s">
        <v>184</v>
      </c>
      <c r="S3" s="22" t="s">
        <v>185</v>
      </c>
      <c r="T3" s="11" t="s">
        <v>186</v>
      </c>
      <c r="U3" s="91"/>
      <c r="V3" s="22"/>
      <c r="W3" s="72"/>
      <c r="X3" s="72"/>
      <c r="Y3" s="72"/>
    </row>
    <row r="4" spans="1:25" ht="45" x14ac:dyDescent="0.25">
      <c r="A4" s="153" t="s">
        <v>14</v>
      </c>
      <c r="B4" s="120" t="s">
        <v>15</v>
      </c>
      <c r="C4" s="121">
        <v>2023</v>
      </c>
      <c r="D4" s="21" t="s">
        <v>187</v>
      </c>
      <c r="E4" s="147" t="s">
        <v>11</v>
      </c>
      <c r="F4" s="22" t="s">
        <v>16</v>
      </c>
      <c r="G4" s="21" t="s">
        <v>17</v>
      </c>
      <c r="H4" s="21" t="s">
        <v>18</v>
      </c>
      <c r="I4" s="188" t="s">
        <v>180</v>
      </c>
      <c r="J4" s="21">
        <v>4</v>
      </c>
      <c r="K4" s="22" t="s">
        <v>19</v>
      </c>
      <c r="L4" s="127" t="s">
        <v>188</v>
      </c>
      <c r="M4" s="127" t="s">
        <v>189</v>
      </c>
      <c r="N4" s="22" t="s">
        <v>190</v>
      </c>
      <c r="O4" s="22" t="s">
        <v>182</v>
      </c>
      <c r="P4" s="22">
        <v>2</v>
      </c>
      <c r="Q4" s="1" t="s">
        <v>191</v>
      </c>
      <c r="R4" s="22" t="s">
        <v>192</v>
      </c>
      <c r="S4" s="22" t="s">
        <v>193</v>
      </c>
      <c r="T4" s="11"/>
      <c r="U4" s="91"/>
      <c r="V4" s="22"/>
      <c r="W4" s="72"/>
      <c r="X4" s="72"/>
      <c r="Y4" s="72"/>
    </row>
    <row r="5" spans="1:25" ht="120" x14ac:dyDescent="0.25">
      <c r="A5" s="1" t="s">
        <v>20</v>
      </c>
      <c r="B5" s="83" t="s">
        <v>21</v>
      </c>
      <c r="C5" s="22">
        <v>2022</v>
      </c>
      <c r="D5" s="22" t="s">
        <v>194</v>
      </c>
      <c r="E5" s="148" t="s">
        <v>11</v>
      </c>
      <c r="F5" s="22" t="s">
        <v>22</v>
      </c>
      <c r="G5" s="22" t="s">
        <v>23</v>
      </c>
      <c r="H5" s="22" t="s">
        <v>24</v>
      </c>
      <c r="I5" s="22"/>
      <c r="J5" s="22" t="s">
        <v>25</v>
      </c>
      <c r="K5" s="22" t="s">
        <v>26</v>
      </c>
      <c r="L5" s="127" t="s">
        <v>188</v>
      </c>
      <c r="M5" s="127" t="s">
        <v>195</v>
      </c>
      <c r="N5" s="11"/>
      <c r="O5" s="92" t="s">
        <v>196</v>
      </c>
      <c r="P5" s="11">
        <v>8</v>
      </c>
      <c r="Q5" s="8" t="s">
        <v>197</v>
      </c>
      <c r="R5" s="22" t="s">
        <v>198</v>
      </c>
      <c r="S5" s="11" t="s">
        <v>199</v>
      </c>
      <c r="T5" s="11" t="s">
        <v>200</v>
      </c>
      <c r="U5" s="11" t="s">
        <v>200</v>
      </c>
      <c r="V5" s="11"/>
      <c r="W5" s="73">
        <v>0.98</v>
      </c>
      <c r="X5" s="11"/>
      <c r="Y5" s="11"/>
    </row>
    <row r="6" spans="1:25" ht="75" x14ac:dyDescent="0.25">
      <c r="A6" s="1" t="s">
        <v>27</v>
      </c>
      <c r="B6" s="83" t="s">
        <v>28</v>
      </c>
      <c r="C6" s="22">
        <v>2022</v>
      </c>
      <c r="D6" s="22" t="s">
        <v>187</v>
      </c>
      <c r="E6" s="152" t="s">
        <v>29</v>
      </c>
      <c r="F6" s="130" t="s">
        <v>12</v>
      </c>
      <c r="G6" s="22" t="s">
        <v>30</v>
      </c>
      <c r="H6" s="22" t="s">
        <v>31</v>
      </c>
      <c r="I6" s="188" t="s">
        <v>180</v>
      </c>
      <c r="J6" s="22">
        <v>8</v>
      </c>
      <c r="K6" s="22" t="s">
        <v>32</v>
      </c>
      <c r="L6" s="130" t="s">
        <v>12</v>
      </c>
      <c r="M6" s="130" t="s">
        <v>12</v>
      </c>
      <c r="N6" s="22" t="s">
        <v>201</v>
      </c>
      <c r="O6" s="22" t="s">
        <v>202</v>
      </c>
      <c r="P6" s="22">
        <v>5</v>
      </c>
      <c r="Q6" s="1" t="s">
        <v>203</v>
      </c>
      <c r="R6" s="22" t="s">
        <v>204</v>
      </c>
      <c r="S6" s="22" t="s">
        <v>205</v>
      </c>
      <c r="T6" s="22"/>
      <c r="U6" s="22"/>
      <c r="V6" s="22"/>
      <c r="W6" s="22"/>
      <c r="X6" s="22"/>
      <c r="Y6" s="22"/>
    </row>
    <row r="7" spans="1:25" ht="45" x14ac:dyDescent="0.25">
      <c r="A7" s="1" t="s">
        <v>33</v>
      </c>
      <c r="B7" s="83" t="s">
        <v>34</v>
      </c>
      <c r="C7" s="22">
        <v>2022</v>
      </c>
      <c r="D7" s="22" t="s">
        <v>206</v>
      </c>
      <c r="E7" s="147" t="s">
        <v>11</v>
      </c>
      <c r="F7" s="22" t="s">
        <v>16</v>
      </c>
      <c r="G7" s="21" t="s">
        <v>17</v>
      </c>
      <c r="H7" s="22" t="s">
        <v>31</v>
      </c>
      <c r="I7" s="188" t="s">
        <v>180</v>
      </c>
      <c r="J7" s="22">
        <v>4</v>
      </c>
      <c r="K7" s="22" t="s">
        <v>35</v>
      </c>
      <c r="L7" s="127" t="s">
        <v>188</v>
      </c>
      <c r="M7" s="127" t="s">
        <v>189</v>
      </c>
      <c r="N7" s="22" t="s">
        <v>201</v>
      </c>
      <c r="O7" s="22" t="s">
        <v>207</v>
      </c>
      <c r="P7" s="22">
        <v>2</v>
      </c>
      <c r="Q7" s="1" t="s">
        <v>208</v>
      </c>
      <c r="R7" s="78" t="s">
        <v>209</v>
      </c>
      <c r="S7" s="78" t="s">
        <v>193</v>
      </c>
      <c r="T7" s="22" t="s">
        <v>200</v>
      </c>
      <c r="U7" s="22" t="s">
        <v>200</v>
      </c>
      <c r="V7" s="22" t="s">
        <v>200</v>
      </c>
      <c r="W7" s="22" t="s">
        <v>200</v>
      </c>
      <c r="X7" s="22" t="s">
        <v>200</v>
      </c>
      <c r="Y7" s="22" t="s">
        <v>200</v>
      </c>
    </row>
    <row r="8" spans="1:25" ht="90" x14ac:dyDescent="0.25">
      <c r="A8" s="1" t="s">
        <v>36</v>
      </c>
      <c r="B8" s="83" t="s">
        <v>37</v>
      </c>
      <c r="C8" s="22">
        <v>2022</v>
      </c>
      <c r="D8" s="22" t="s">
        <v>179</v>
      </c>
      <c r="E8" s="22"/>
      <c r="F8" s="130" t="s">
        <v>12</v>
      </c>
      <c r="G8" s="130" t="s">
        <v>12</v>
      </c>
      <c r="H8" s="130" t="s">
        <v>12</v>
      </c>
      <c r="I8" s="130"/>
      <c r="J8" s="22">
        <v>8</v>
      </c>
      <c r="K8" s="22" t="s">
        <v>39</v>
      </c>
      <c r="L8" s="130" t="s">
        <v>12</v>
      </c>
      <c r="M8" s="130" t="s">
        <v>12</v>
      </c>
      <c r="N8" s="22" t="s">
        <v>210</v>
      </c>
      <c r="O8" s="22" t="s">
        <v>211</v>
      </c>
      <c r="P8" s="79">
        <v>6</v>
      </c>
      <c r="Q8" s="138" t="s">
        <v>212</v>
      </c>
      <c r="R8" s="96" t="s">
        <v>213</v>
      </c>
      <c r="S8" s="80" t="s">
        <v>214</v>
      </c>
      <c r="T8" s="104" t="s">
        <v>200</v>
      </c>
      <c r="U8" s="83" t="s">
        <v>200</v>
      </c>
      <c r="V8" s="22" t="s">
        <v>200</v>
      </c>
      <c r="W8" s="22" t="s">
        <v>215</v>
      </c>
      <c r="X8" s="22"/>
      <c r="Y8" s="22"/>
    </row>
    <row r="9" spans="1:25" ht="225" x14ac:dyDescent="0.25">
      <c r="A9" s="1" t="s">
        <v>40</v>
      </c>
      <c r="B9" s="83" t="s">
        <v>41</v>
      </c>
      <c r="C9" s="22">
        <v>2018</v>
      </c>
      <c r="D9" s="22" t="s">
        <v>206</v>
      </c>
      <c r="E9" s="148" t="s">
        <v>11</v>
      </c>
      <c r="F9" s="130" t="s">
        <v>12</v>
      </c>
      <c r="G9" s="22" t="s">
        <v>42</v>
      </c>
      <c r="H9" s="22" t="s">
        <v>43</v>
      </c>
      <c r="I9" s="188" t="s">
        <v>180</v>
      </c>
      <c r="J9" s="22">
        <v>8</v>
      </c>
      <c r="K9" s="22" t="s">
        <v>19</v>
      </c>
      <c r="L9" s="127" t="s">
        <v>188</v>
      </c>
      <c r="M9" s="127" t="s">
        <v>216</v>
      </c>
      <c r="N9" s="97" t="s">
        <v>217</v>
      </c>
      <c r="O9" s="97" t="s">
        <v>218</v>
      </c>
      <c r="P9" s="45">
        <v>12</v>
      </c>
      <c r="Q9" s="163" t="s">
        <v>219</v>
      </c>
      <c r="R9" s="123" t="s">
        <v>220</v>
      </c>
      <c r="S9" s="81" t="s">
        <v>221</v>
      </c>
      <c r="T9" s="82" t="s">
        <v>186</v>
      </c>
      <c r="U9" s="83" t="s">
        <v>222</v>
      </c>
      <c r="V9" s="22"/>
      <c r="W9" s="74">
        <v>0.95</v>
      </c>
      <c r="X9" s="22"/>
      <c r="Y9" s="22"/>
    </row>
    <row r="10" spans="1:25" ht="75" x14ac:dyDescent="0.25">
      <c r="A10" s="1" t="s">
        <v>44</v>
      </c>
      <c r="B10" s="83" t="s">
        <v>45</v>
      </c>
      <c r="C10" s="22">
        <v>2022</v>
      </c>
      <c r="D10" s="22" t="s">
        <v>187</v>
      </c>
      <c r="E10" s="148" t="s">
        <v>11</v>
      </c>
      <c r="F10" s="130" t="s">
        <v>12</v>
      </c>
      <c r="G10" s="130" t="s">
        <v>12</v>
      </c>
      <c r="H10" s="22" t="s">
        <v>46</v>
      </c>
      <c r="I10" s="188" t="s">
        <v>180</v>
      </c>
      <c r="J10" s="22">
        <v>9</v>
      </c>
      <c r="K10" s="22" t="s">
        <v>47</v>
      </c>
      <c r="L10" s="130" t="s">
        <v>12</v>
      </c>
      <c r="M10" s="130" t="s">
        <v>12</v>
      </c>
      <c r="N10" s="22" t="s">
        <v>223</v>
      </c>
      <c r="O10" s="22" t="s">
        <v>224</v>
      </c>
      <c r="P10" s="84">
        <v>5</v>
      </c>
      <c r="Q10" s="164" t="s">
        <v>225</v>
      </c>
      <c r="R10" s="99" t="s">
        <v>226</v>
      </c>
      <c r="S10" s="45" t="s">
        <v>227</v>
      </c>
      <c r="T10" s="85" t="s">
        <v>228</v>
      </c>
      <c r="U10" s="22">
        <v>800</v>
      </c>
      <c r="V10" s="22"/>
      <c r="W10" s="22">
        <v>95.41</v>
      </c>
      <c r="X10" s="22"/>
      <c r="Y10" s="22"/>
    </row>
    <row r="11" spans="1:25" ht="60" x14ac:dyDescent="0.25">
      <c r="A11" s="1" t="s">
        <v>48</v>
      </c>
      <c r="B11" s="83" t="s">
        <v>49</v>
      </c>
      <c r="C11" s="22">
        <v>2021</v>
      </c>
      <c r="D11" s="22" t="s">
        <v>187</v>
      </c>
      <c r="E11" s="22" t="s">
        <v>50</v>
      </c>
      <c r="F11" s="22" t="s">
        <v>51</v>
      </c>
      <c r="G11" s="157" t="s">
        <v>52</v>
      </c>
      <c r="H11" s="22" t="s">
        <v>31</v>
      </c>
      <c r="I11" s="22"/>
      <c r="J11" s="22" t="s">
        <v>53</v>
      </c>
      <c r="K11" s="22" t="s">
        <v>54</v>
      </c>
      <c r="L11" s="130" t="s">
        <v>12</v>
      </c>
      <c r="M11" s="130" t="s">
        <v>12</v>
      </c>
      <c r="N11" s="22" t="s">
        <v>229</v>
      </c>
      <c r="O11" s="22" t="s">
        <v>230</v>
      </c>
      <c r="P11" s="22">
        <v>4</v>
      </c>
      <c r="Q11" s="2" t="s">
        <v>231</v>
      </c>
      <c r="R11" s="21" t="s">
        <v>232</v>
      </c>
      <c r="S11" s="21" t="s">
        <v>233</v>
      </c>
      <c r="T11" s="22" t="s">
        <v>234</v>
      </c>
      <c r="U11" s="22">
        <v>4096</v>
      </c>
      <c r="V11" s="22"/>
      <c r="W11" s="22" t="s">
        <v>235</v>
      </c>
      <c r="X11" s="16"/>
      <c r="Y11" s="16"/>
    </row>
    <row r="12" spans="1:25" ht="60" x14ac:dyDescent="0.25">
      <c r="A12" s="1" t="s">
        <v>55</v>
      </c>
      <c r="B12" s="83" t="s">
        <v>56</v>
      </c>
      <c r="C12" s="22">
        <v>2021</v>
      </c>
      <c r="D12" s="22" t="s">
        <v>187</v>
      </c>
      <c r="E12" s="22" t="s">
        <v>50</v>
      </c>
      <c r="F12" s="22" t="s">
        <v>58</v>
      </c>
      <c r="G12" s="22"/>
      <c r="H12" s="22" t="s">
        <v>59</v>
      </c>
      <c r="I12" s="188" t="s">
        <v>180</v>
      </c>
      <c r="J12" s="22">
        <v>6</v>
      </c>
      <c r="K12" s="22" t="s">
        <v>60</v>
      </c>
      <c r="L12" s="127" t="s">
        <v>188</v>
      </c>
      <c r="M12" s="127" t="s">
        <v>236</v>
      </c>
      <c r="N12" s="22" t="s">
        <v>237</v>
      </c>
      <c r="O12" s="22" t="s">
        <v>238</v>
      </c>
      <c r="P12" s="22">
        <v>6</v>
      </c>
      <c r="Q12" s="1" t="s">
        <v>239</v>
      </c>
      <c r="R12" s="22" t="s">
        <v>240</v>
      </c>
      <c r="S12" s="22" t="s">
        <v>241</v>
      </c>
      <c r="T12" s="22" t="s">
        <v>242</v>
      </c>
      <c r="U12" s="22" t="s">
        <v>243</v>
      </c>
      <c r="V12" s="22"/>
      <c r="W12" s="22" t="s">
        <v>244</v>
      </c>
      <c r="X12" s="22"/>
      <c r="Y12" s="22"/>
    </row>
    <row r="13" spans="1:25" ht="90" x14ac:dyDescent="0.25">
      <c r="A13" s="1" t="s">
        <v>61</v>
      </c>
      <c r="B13" s="83" t="s">
        <v>62</v>
      </c>
      <c r="C13" s="22">
        <v>2021</v>
      </c>
      <c r="D13" s="22" t="s">
        <v>187</v>
      </c>
      <c r="E13" s="22" t="s">
        <v>50</v>
      </c>
      <c r="F13" s="22" t="s">
        <v>63</v>
      </c>
      <c r="G13" s="130" t="s">
        <v>12</v>
      </c>
      <c r="H13" s="22" t="s">
        <v>31</v>
      </c>
      <c r="I13" s="22"/>
      <c r="J13" s="22" t="s">
        <v>64</v>
      </c>
      <c r="K13" s="22" t="s">
        <v>54</v>
      </c>
      <c r="L13" s="130" t="s">
        <v>12</v>
      </c>
      <c r="M13" s="130" t="s">
        <v>12</v>
      </c>
      <c r="N13" s="22" t="s">
        <v>245</v>
      </c>
      <c r="O13" s="22" t="s">
        <v>246</v>
      </c>
      <c r="P13" s="22">
        <v>6</v>
      </c>
      <c r="Q13" s="1" t="s">
        <v>247</v>
      </c>
      <c r="R13" s="22" t="s">
        <v>248</v>
      </c>
      <c r="S13" s="22" t="s">
        <v>249</v>
      </c>
      <c r="T13" s="22" t="s">
        <v>186</v>
      </c>
      <c r="U13" s="22">
        <v>8000</v>
      </c>
      <c r="V13" s="22">
        <v>95.87</v>
      </c>
      <c r="W13" s="72">
        <v>0.95669999999999999</v>
      </c>
      <c r="X13" s="22">
        <v>95.67</v>
      </c>
      <c r="Y13" s="22"/>
    </row>
    <row r="14" spans="1:25" ht="120" x14ac:dyDescent="0.25">
      <c r="A14" s="1" t="s">
        <v>65</v>
      </c>
      <c r="B14" s="83" t="s">
        <v>66</v>
      </c>
      <c r="C14" s="22">
        <v>2021</v>
      </c>
      <c r="D14" s="22" t="s">
        <v>187</v>
      </c>
      <c r="E14" s="148" t="s">
        <v>11</v>
      </c>
      <c r="F14" s="130" t="s">
        <v>12</v>
      </c>
      <c r="G14" s="22" t="s">
        <v>67</v>
      </c>
      <c r="H14" s="22" t="s">
        <v>31</v>
      </c>
      <c r="I14" s="188" t="s">
        <v>180</v>
      </c>
      <c r="J14" s="22">
        <v>6</v>
      </c>
      <c r="K14" s="22" t="s">
        <v>68</v>
      </c>
      <c r="L14" s="127" t="s">
        <v>188</v>
      </c>
      <c r="M14" s="130" t="s">
        <v>12</v>
      </c>
      <c r="N14" s="22" t="s">
        <v>250</v>
      </c>
      <c r="O14" s="22" t="s">
        <v>251</v>
      </c>
      <c r="P14" s="22">
        <v>6</v>
      </c>
      <c r="Q14" s="1" t="s">
        <v>252</v>
      </c>
      <c r="R14" s="22" t="s">
        <v>253</v>
      </c>
      <c r="S14" s="22" t="s">
        <v>254</v>
      </c>
      <c r="T14" s="22" t="s">
        <v>255</v>
      </c>
      <c r="U14" s="22" t="s">
        <v>256</v>
      </c>
      <c r="V14" s="22"/>
      <c r="W14" s="74">
        <v>0.81</v>
      </c>
      <c r="X14" s="16"/>
      <c r="Y14" s="16"/>
    </row>
    <row r="15" spans="1:25" ht="45" x14ac:dyDescent="0.25">
      <c r="A15" s="1" t="s">
        <v>69</v>
      </c>
      <c r="B15" s="83" t="s">
        <v>70</v>
      </c>
      <c r="C15" s="22">
        <v>2021</v>
      </c>
      <c r="D15" s="22" t="s">
        <v>187</v>
      </c>
      <c r="E15" s="22" t="s">
        <v>54</v>
      </c>
      <c r="F15" s="22" t="s">
        <v>71</v>
      </c>
      <c r="G15" s="22" t="s">
        <v>72</v>
      </c>
      <c r="H15" s="22" t="s">
        <v>31</v>
      </c>
      <c r="I15" s="22"/>
      <c r="J15" s="22" t="s">
        <v>73</v>
      </c>
      <c r="K15" s="22" t="s">
        <v>74</v>
      </c>
      <c r="L15" s="130" t="s">
        <v>12</v>
      </c>
      <c r="M15" s="128" t="s">
        <v>257</v>
      </c>
      <c r="N15" s="22" t="s">
        <v>258</v>
      </c>
      <c r="O15" s="92" t="s">
        <v>259</v>
      </c>
      <c r="P15" s="22">
        <v>7</v>
      </c>
      <c r="Q15" s="1" t="s">
        <v>260</v>
      </c>
      <c r="R15" s="22" t="s">
        <v>261</v>
      </c>
      <c r="S15" s="22" t="s">
        <v>262</v>
      </c>
      <c r="T15" s="22" t="s">
        <v>263</v>
      </c>
      <c r="U15" s="22" t="s">
        <v>264</v>
      </c>
      <c r="V15" s="22">
        <v>96.4</v>
      </c>
      <c r="W15" s="72">
        <v>0.97070000000000001</v>
      </c>
      <c r="X15" s="22">
        <v>96.3</v>
      </c>
      <c r="Y15" s="22"/>
    </row>
    <row r="16" spans="1:25" ht="120" x14ac:dyDescent="0.25">
      <c r="A16" s="1" t="s">
        <v>75</v>
      </c>
      <c r="B16" s="83" t="s">
        <v>76</v>
      </c>
      <c r="C16" s="22">
        <v>2021</v>
      </c>
      <c r="D16" s="22" t="s">
        <v>206</v>
      </c>
      <c r="E16" s="22" t="s">
        <v>54</v>
      </c>
      <c r="F16" s="130" t="s">
        <v>12</v>
      </c>
      <c r="G16" s="130" t="s">
        <v>12</v>
      </c>
      <c r="H16" s="22" t="s">
        <v>78</v>
      </c>
      <c r="I16" s="188" t="s">
        <v>180</v>
      </c>
      <c r="J16" s="22">
        <v>10</v>
      </c>
      <c r="K16" s="22" t="s">
        <v>79</v>
      </c>
      <c r="L16" s="127" t="s">
        <v>188</v>
      </c>
      <c r="M16" s="127" t="s">
        <v>265</v>
      </c>
      <c r="N16" s="16" t="s">
        <v>258</v>
      </c>
      <c r="O16" s="92" t="s">
        <v>266</v>
      </c>
      <c r="P16" s="16">
        <v>11</v>
      </c>
      <c r="Q16" s="14" t="s">
        <v>267</v>
      </c>
      <c r="R16" s="1" t="s">
        <v>268</v>
      </c>
      <c r="S16" s="16" t="s">
        <v>269</v>
      </c>
      <c r="T16" s="16" t="s">
        <v>270</v>
      </c>
      <c r="U16" s="16"/>
      <c r="V16" s="16"/>
      <c r="W16" s="16" t="s">
        <v>271</v>
      </c>
      <c r="X16" s="16"/>
      <c r="Y16" s="16"/>
    </row>
    <row r="18" spans="1:25" ht="60" x14ac:dyDescent="0.25">
      <c r="A18" s="125" t="s">
        <v>80</v>
      </c>
      <c r="B18" s="124" t="s">
        <v>81</v>
      </c>
      <c r="C18" s="124">
        <v>2021</v>
      </c>
      <c r="D18" s="124" t="s">
        <v>187</v>
      </c>
      <c r="E18" s="22" t="s">
        <v>50</v>
      </c>
      <c r="F18" s="130" t="s">
        <v>12</v>
      </c>
      <c r="G18" s="130" t="s">
        <v>12</v>
      </c>
      <c r="H18" s="22" t="s">
        <v>31</v>
      </c>
      <c r="I18" s="22"/>
      <c r="J18" s="22" t="s">
        <v>64</v>
      </c>
      <c r="K18" s="45" t="s">
        <v>82</v>
      </c>
      <c r="L18" s="130" t="s">
        <v>12</v>
      </c>
      <c r="M18" s="130" t="s">
        <v>12</v>
      </c>
      <c r="N18" s="105" t="s">
        <v>258</v>
      </c>
      <c r="O18" s="106" t="s">
        <v>272</v>
      </c>
      <c r="P18" s="105">
        <v>4</v>
      </c>
      <c r="Q18" s="30" t="s">
        <v>273</v>
      </c>
      <c r="R18" s="124" t="s">
        <v>274</v>
      </c>
      <c r="S18" s="67" t="s">
        <v>275</v>
      </c>
      <c r="T18" s="105" t="s">
        <v>270</v>
      </c>
      <c r="U18" s="105" t="s">
        <v>276</v>
      </c>
      <c r="V18" s="105"/>
      <c r="W18" s="107">
        <v>0.89600000000000002</v>
      </c>
      <c r="X18" s="105"/>
      <c r="Y18" s="105"/>
    </row>
    <row r="19" spans="1:25" ht="75" x14ac:dyDescent="0.25">
      <c r="A19" s="125" t="s">
        <v>83</v>
      </c>
      <c r="B19" s="124" t="s">
        <v>84</v>
      </c>
      <c r="C19" s="124">
        <v>2022</v>
      </c>
      <c r="D19" s="124" t="s">
        <v>187</v>
      </c>
      <c r="E19" s="124" t="s">
        <v>50</v>
      </c>
      <c r="F19" s="124" t="s">
        <v>85</v>
      </c>
      <c r="G19" s="130" t="s">
        <v>12</v>
      </c>
      <c r="H19" s="124" t="s">
        <v>46</v>
      </c>
      <c r="I19" s="188" t="s">
        <v>180</v>
      </c>
      <c r="J19" s="124">
        <v>64</v>
      </c>
      <c r="K19" s="124" t="s">
        <v>86</v>
      </c>
      <c r="L19" s="130" t="s">
        <v>12</v>
      </c>
      <c r="M19" s="105"/>
      <c r="N19" s="67" t="s">
        <v>277</v>
      </c>
      <c r="O19" s="109" t="s">
        <v>278</v>
      </c>
      <c r="P19" s="105">
        <v>5</v>
      </c>
      <c r="Q19" s="30" t="s">
        <v>279</v>
      </c>
      <c r="R19" s="124" t="s">
        <v>280</v>
      </c>
      <c r="S19" s="67" t="s">
        <v>281</v>
      </c>
      <c r="T19" s="105" t="s">
        <v>270</v>
      </c>
      <c r="U19" s="105">
        <v>7000</v>
      </c>
      <c r="V19" s="105"/>
      <c r="W19" s="110">
        <v>0.98</v>
      </c>
      <c r="X19" s="105"/>
      <c r="Y19" s="105"/>
    </row>
    <row r="20" spans="1:25" ht="195" x14ac:dyDescent="0.25">
      <c r="A20" s="125" t="s">
        <v>87</v>
      </c>
      <c r="B20" s="124" t="s">
        <v>88</v>
      </c>
      <c r="C20" s="124">
        <v>2022</v>
      </c>
      <c r="D20" s="124" t="s">
        <v>187</v>
      </c>
      <c r="E20" s="124"/>
      <c r="F20" s="130" t="s">
        <v>12</v>
      </c>
      <c r="G20" s="130" t="s">
        <v>12</v>
      </c>
      <c r="H20" s="45" t="s">
        <v>90</v>
      </c>
      <c r="I20" s="188" t="s">
        <v>180</v>
      </c>
      <c r="J20" s="124">
        <v>9</v>
      </c>
      <c r="K20" s="124" t="s">
        <v>19</v>
      </c>
      <c r="L20" s="127" t="s">
        <v>188</v>
      </c>
      <c r="M20" s="128" t="s">
        <v>257</v>
      </c>
      <c r="N20" s="105" t="s">
        <v>282</v>
      </c>
      <c r="O20" s="105" t="s">
        <v>270</v>
      </c>
      <c r="P20" s="105">
        <v>15</v>
      </c>
      <c r="Q20" s="30" t="s">
        <v>283</v>
      </c>
      <c r="R20" s="124" t="s">
        <v>280</v>
      </c>
      <c r="S20" s="67" t="s">
        <v>284</v>
      </c>
      <c r="T20" s="67" t="s">
        <v>285</v>
      </c>
      <c r="U20" s="105" t="s">
        <v>286</v>
      </c>
      <c r="V20" s="105"/>
      <c r="W20" s="107">
        <v>0.98819999999999997</v>
      </c>
      <c r="X20" s="105"/>
      <c r="Y20" s="105"/>
    </row>
    <row r="21" spans="1:25" ht="75" x14ac:dyDescent="0.25">
      <c r="A21" s="136" t="s">
        <v>91</v>
      </c>
      <c r="B21" s="123" t="s">
        <v>92</v>
      </c>
      <c r="C21" s="123">
        <v>2022</v>
      </c>
      <c r="D21" s="123" t="s">
        <v>187</v>
      </c>
      <c r="E21" s="112" t="s">
        <v>89</v>
      </c>
      <c r="F21" s="45" t="s">
        <v>93</v>
      </c>
      <c r="G21" s="130" t="s">
        <v>12</v>
      </c>
      <c r="H21" s="22" t="s">
        <v>31</v>
      </c>
      <c r="I21" s="94"/>
      <c r="J21" s="124" t="s">
        <v>94</v>
      </c>
      <c r="K21" s="124" t="s">
        <v>95</v>
      </c>
      <c r="L21" s="130" t="s">
        <v>12</v>
      </c>
      <c r="M21" s="130" t="s">
        <v>12</v>
      </c>
      <c r="N21" s="112" t="s">
        <v>287</v>
      </c>
      <c r="O21" s="113" t="s">
        <v>288</v>
      </c>
      <c r="P21" s="112">
        <v>5</v>
      </c>
      <c r="Q21" s="165" t="s">
        <v>289</v>
      </c>
      <c r="R21" s="123" t="s">
        <v>274</v>
      </c>
      <c r="S21" s="112" t="s">
        <v>290</v>
      </c>
      <c r="T21" s="112" t="s">
        <v>291</v>
      </c>
      <c r="U21" s="112">
        <v>1120</v>
      </c>
      <c r="V21" s="112"/>
      <c r="W21" s="114">
        <v>0.99819999999999998</v>
      </c>
      <c r="X21" s="112"/>
      <c r="Y21" s="112"/>
    </row>
    <row r="22" spans="1:25" ht="105" x14ac:dyDescent="0.25">
      <c r="A22" s="136" t="s">
        <v>96</v>
      </c>
      <c r="B22" s="123" t="s">
        <v>97</v>
      </c>
      <c r="C22" s="123">
        <v>2020</v>
      </c>
      <c r="D22" s="123" t="s">
        <v>187</v>
      </c>
      <c r="E22" s="123" t="s">
        <v>98</v>
      </c>
      <c r="F22" s="96" t="s">
        <v>99</v>
      </c>
      <c r="G22" s="123" t="s">
        <v>100</v>
      </c>
      <c r="H22" s="123" t="s">
        <v>31</v>
      </c>
      <c r="I22" s="188" t="s">
        <v>180</v>
      </c>
      <c r="J22" s="123">
        <v>6</v>
      </c>
      <c r="K22" s="96" t="s">
        <v>101</v>
      </c>
      <c r="L22" s="130" t="s">
        <v>12</v>
      </c>
      <c r="M22" s="130" t="s">
        <v>12</v>
      </c>
      <c r="N22" s="123" t="s">
        <v>292</v>
      </c>
      <c r="O22" s="123" t="s">
        <v>270</v>
      </c>
      <c r="P22" s="123">
        <v>7</v>
      </c>
      <c r="Q22" s="138" t="s">
        <v>293</v>
      </c>
      <c r="R22" s="96" t="s">
        <v>294</v>
      </c>
      <c r="S22" s="96" t="s">
        <v>295</v>
      </c>
      <c r="T22" s="123"/>
      <c r="U22" s="123">
        <v>9791</v>
      </c>
      <c r="V22" s="123"/>
      <c r="W22" s="96" t="s">
        <v>296</v>
      </c>
      <c r="X22" s="124"/>
      <c r="Y22" s="124"/>
    </row>
    <row r="23" spans="1:25" ht="30" x14ac:dyDescent="0.25">
      <c r="A23" s="125" t="s">
        <v>102</v>
      </c>
      <c r="B23" s="124" t="s">
        <v>103</v>
      </c>
      <c r="C23" s="124">
        <v>2010</v>
      </c>
      <c r="D23" s="124" t="s">
        <v>206</v>
      </c>
      <c r="E23" s="45" t="s">
        <v>104</v>
      </c>
      <c r="F23" s="124"/>
      <c r="G23" s="124"/>
      <c r="H23" s="124" t="s">
        <v>18</v>
      </c>
      <c r="I23" s="188" t="s">
        <v>180</v>
      </c>
      <c r="J23" s="124">
        <v>6</v>
      </c>
      <c r="K23" s="124"/>
      <c r="L23" s="131" t="s">
        <v>188</v>
      </c>
      <c r="M23" s="131" t="s">
        <v>297</v>
      </c>
      <c r="N23" s="45" t="s">
        <v>298</v>
      </c>
      <c r="O23" s="124" t="s">
        <v>270</v>
      </c>
      <c r="P23" s="124"/>
      <c r="Q23" s="166"/>
      <c r="R23" s="146" t="s">
        <v>299</v>
      </c>
      <c r="S23" s="124"/>
      <c r="T23" s="124"/>
      <c r="U23" s="124"/>
      <c r="V23" s="124"/>
      <c r="W23" s="124"/>
    </row>
    <row r="24" spans="1:25" ht="43.5" x14ac:dyDescent="0.25">
      <c r="A24" s="132" t="s">
        <v>105</v>
      </c>
      <c r="B24" s="124" t="s">
        <v>106</v>
      </c>
      <c r="C24" s="124">
        <v>2018</v>
      </c>
      <c r="D24" s="124" t="s">
        <v>187</v>
      </c>
      <c r="E24" s="112" t="s">
        <v>107</v>
      </c>
      <c r="F24" s="133" t="s">
        <v>108</v>
      </c>
      <c r="G24" s="133"/>
      <c r="H24" s="124"/>
      <c r="I24" s="188" t="s">
        <v>180</v>
      </c>
      <c r="J24" s="124">
        <v>9</v>
      </c>
      <c r="K24" s="124"/>
      <c r="L24" s="124"/>
      <c r="M24" s="131" t="s">
        <v>257</v>
      </c>
      <c r="N24" s="124"/>
      <c r="O24" s="124"/>
      <c r="P24" s="124">
        <v>11</v>
      </c>
      <c r="Q24" s="166"/>
      <c r="R24" s="134" t="s">
        <v>300</v>
      </c>
      <c r="S24" s="124"/>
      <c r="T24" s="124" t="s">
        <v>301</v>
      </c>
      <c r="U24" s="124"/>
      <c r="V24" s="124"/>
      <c r="W24" s="135">
        <v>0.98099999999999998</v>
      </c>
    </row>
    <row r="25" spans="1:25" ht="45" x14ac:dyDescent="0.25">
      <c r="A25" s="142" t="s">
        <v>109</v>
      </c>
      <c r="B25" s="143" t="s">
        <v>110</v>
      </c>
      <c r="C25" s="143">
        <v>2018</v>
      </c>
      <c r="D25" s="143" t="s">
        <v>187</v>
      </c>
      <c r="E25" s="143" t="s">
        <v>111</v>
      </c>
      <c r="F25" s="142" t="s">
        <v>112</v>
      </c>
      <c r="G25" s="143" t="s">
        <v>113</v>
      </c>
      <c r="H25" s="143" t="s">
        <v>114</v>
      </c>
      <c r="I25" s="188" t="s">
        <v>180</v>
      </c>
      <c r="J25" s="143">
        <v>1</v>
      </c>
      <c r="K25" s="143" t="s">
        <v>115</v>
      </c>
      <c r="L25" s="131" t="s">
        <v>188</v>
      </c>
      <c r="M25" s="143" t="s">
        <v>302</v>
      </c>
      <c r="N25" s="143" t="s">
        <v>114</v>
      </c>
      <c r="O25" s="143"/>
      <c r="P25" s="143">
        <v>3</v>
      </c>
      <c r="Q25" s="167" t="s">
        <v>303</v>
      </c>
      <c r="R25" s="143" t="s">
        <v>304</v>
      </c>
      <c r="S25" s="143" t="s">
        <v>305</v>
      </c>
      <c r="T25" s="143"/>
      <c r="U25" s="143"/>
      <c r="V25" s="143"/>
      <c r="W25" s="143">
        <v>98.75</v>
      </c>
      <c r="X25" s="143"/>
      <c r="Y25" s="143"/>
    </row>
    <row r="26" spans="1:25" ht="90" x14ac:dyDescent="0.25">
      <c r="A26" s="157" t="s">
        <v>116</v>
      </c>
      <c r="B26" s="95" t="s">
        <v>117</v>
      </c>
      <c r="C26" s="95">
        <v>2018</v>
      </c>
      <c r="E26" s="187" t="s">
        <v>118</v>
      </c>
      <c r="G26" s="95" t="s">
        <v>119</v>
      </c>
      <c r="H26" s="95" t="s">
        <v>120</v>
      </c>
      <c r="I26" s="188" t="s">
        <v>180</v>
      </c>
      <c r="J26" s="95">
        <v>4</v>
      </c>
      <c r="L26" s="130" t="s">
        <v>12</v>
      </c>
      <c r="M26" s="130" t="s">
        <v>12</v>
      </c>
      <c r="P26" s="95">
        <v>6</v>
      </c>
      <c r="Q26" s="52" t="s">
        <v>306</v>
      </c>
      <c r="R26" s="95" t="s">
        <v>307</v>
      </c>
      <c r="S26" s="94" t="s">
        <v>308</v>
      </c>
    </row>
    <row r="27" spans="1:25" ht="90" x14ac:dyDescent="0.25">
      <c r="A27" s="157" t="s">
        <v>309</v>
      </c>
      <c r="B27" s="95" t="s">
        <v>310</v>
      </c>
      <c r="C27" s="95">
        <v>2023</v>
      </c>
      <c r="E27" s="187" t="s">
        <v>118</v>
      </c>
      <c r="J27" s="95">
        <v>4</v>
      </c>
      <c r="P27" s="95">
        <v>9</v>
      </c>
      <c r="Q27" s="52" t="s">
        <v>311</v>
      </c>
    </row>
    <row r="28" spans="1:25" ht="31.5" x14ac:dyDescent="0.5">
      <c r="A28" s="155" t="s">
        <v>121</v>
      </c>
    </row>
    <row r="29" spans="1:25" ht="45" x14ac:dyDescent="0.25">
      <c r="A29" s="157" t="s">
        <v>312</v>
      </c>
      <c r="B29" s="95" t="s">
        <v>313</v>
      </c>
      <c r="E29" s="95" t="s">
        <v>314</v>
      </c>
      <c r="I29" s="188" t="s">
        <v>180</v>
      </c>
      <c r="J29" s="95">
        <v>9</v>
      </c>
      <c r="P29" s="95">
        <v>7</v>
      </c>
      <c r="Q29" s="118" t="s">
        <v>315</v>
      </c>
    </row>
    <row r="30" spans="1:25" x14ac:dyDescent="0.25">
      <c r="A30" t="s">
        <v>316</v>
      </c>
      <c r="B30" s="95" t="s">
        <v>317</v>
      </c>
      <c r="C30" s="95">
        <v>2018</v>
      </c>
      <c r="E30" s="95" t="s">
        <v>129</v>
      </c>
    </row>
    <row r="31" spans="1:25" ht="75" x14ac:dyDescent="0.25">
      <c r="A31" s="1" t="s">
        <v>122</v>
      </c>
      <c r="B31" s="83" t="s">
        <v>123</v>
      </c>
      <c r="C31" s="22">
        <v>2021</v>
      </c>
      <c r="D31" s="22" t="s">
        <v>187</v>
      </c>
      <c r="E31" s="149" t="s">
        <v>124</v>
      </c>
      <c r="F31" s="22"/>
      <c r="G31" s="22"/>
      <c r="H31" s="22" t="s">
        <v>125</v>
      </c>
      <c r="I31" s="22"/>
      <c r="J31" s="22">
        <v>1</v>
      </c>
      <c r="K31" s="22" t="s">
        <v>126</v>
      </c>
      <c r="L31" s="130" t="s">
        <v>12</v>
      </c>
      <c r="M31" s="130" t="s">
        <v>12</v>
      </c>
      <c r="N31" s="22" t="s">
        <v>318</v>
      </c>
      <c r="O31" s="22" t="s">
        <v>319</v>
      </c>
      <c r="P31" s="22">
        <v>5</v>
      </c>
      <c r="Q31" s="1" t="s">
        <v>320</v>
      </c>
      <c r="R31" s="22" t="s">
        <v>125</v>
      </c>
      <c r="S31" s="22" t="s">
        <v>321</v>
      </c>
      <c r="T31" s="22" t="s">
        <v>322</v>
      </c>
      <c r="U31" s="129">
        <v>163501</v>
      </c>
      <c r="V31" s="22"/>
      <c r="W31" s="72">
        <v>0.999</v>
      </c>
      <c r="X31" s="22"/>
      <c r="Y31" s="22"/>
    </row>
    <row r="32" spans="1:25" ht="75" x14ac:dyDescent="0.25">
      <c r="A32" s="1" t="s">
        <v>127</v>
      </c>
      <c r="B32" s="22" t="s">
        <v>128</v>
      </c>
      <c r="C32" s="1">
        <v>2023</v>
      </c>
      <c r="D32" s="1" t="s">
        <v>323</v>
      </c>
      <c r="E32" s="151" t="s">
        <v>129</v>
      </c>
      <c r="F32" s="20"/>
      <c r="G32" s="20"/>
      <c r="H32" s="20" t="s">
        <v>130</v>
      </c>
      <c r="I32" s="188" t="s">
        <v>180</v>
      </c>
      <c r="J32" s="20">
        <v>1</v>
      </c>
      <c r="K32" s="11" t="s">
        <v>131</v>
      </c>
      <c r="L32" s="130" t="s">
        <v>12</v>
      </c>
      <c r="M32" s="130" t="s">
        <v>12</v>
      </c>
      <c r="N32" s="11"/>
      <c r="O32" s="11" t="s">
        <v>324</v>
      </c>
      <c r="P32" s="11">
        <v>4</v>
      </c>
      <c r="Q32" s="8" t="s">
        <v>200</v>
      </c>
      <c r="R32" s="22" t="s">
        <v>325</v>
      </c>
      <c r="S32" s="11" t="s">
        <v>326</v>
      </c>
      <c r="T32" s="11" t="s">
        <v>200</v>
      </c>
      <c r="U32" s="11"/>
      <c r="V32" s="11">
        <v>98.6</v>
      </c>
      <c r="W32" s="71">
        <v>0.98699999999999999</v>
      </c>
      <c r="X32" s="71">
        <v>0.98599999999999999</v>
      </c>
      <c r="Y32" s="71">
        <v>0.97699999999999998</v>
      </c>
    </row>
    <row r="33" spans="1:25" ht="60" x14ac:dyDescent="0.25">
      <c r="A33" s="1" t="s">
        <v>132</v>
      </c>
      <c r="B33" s="83" t="s">
        <v>133</v>
      </c>
      <c r="C33" s="22">
        <v>2022</v>
      </c>
      <c r="D33" s="22" t="s">
        <v>187</v>
      </c>
      <c r="E33" s="149" t="s">
        <v>124</v>
      </c>
      <c r="F33" s="22"/>
      <c r="G33" s="22" t="s">
        <v>134</v>
      </c>
      <c r="H33" s="22" t="s">
        <v>114</v>
      </c>
      <c r="I33" s="22"/>
      <c r="J33" s="22">
        <v>2</v>
      </c>
      <c r="K33" s="22" t="s">
        <v>135</v>
      </c>
      <c r="L33" s="130" t="s">
        <v>12</v>
      </c>
      <c r="M33" s="130" t="s">
        <v>12</v>
      </c>
      <c r="N33" s="22"/>
      <c r="O33" s="22" t="s">
        <v>327</v>
      </c>
      <c r="P33" s="22">
        <v>4</v>
      </c>
      <c r="Q33" s="1" t="s">
        <v>328</v>
      </c>
      <c r="R33" s="22" t="s">
        <v>329</v>
      </c>
      <c r="S33" s="22" t="s">
        <v>330</v>
      </c>
      <c r="T33" s="22" t="s">
        <v>186</v>
      </c>
      <c r="U33" s="22">
        <v>5940</v>
      </c>
      <c r="V33" s="22"/>
      <c r="W33" s="22" t="s">
        <v>331</v>
      </c>
      <c r="X33" s="22" t="s">
        <v>332</v>
      </c>
      <c r="Y33" s="22"/>
    </row>
    <row r="34" spans="1:25" ht="41.25" customHeight="1" x14ac:dyDescent="0.5">
      <c r="A34" s="156" t="s">
        <v>136</v>
      </c>
    </row>
    <row r="35" spans="1:25" ht="45" x14ac:dyDescent="0.25">
      <c r="A35" s="139" t="s">
        <v>137</v>
      </c>
      <c r="B35" s="140" t="s">
        <v>138</v>
      </c>
      <c r="C35" s="141">
        <v>2023</v>
      </c>
      <c r="D35" s="141" t="s">
        <v>187</v>
      </c>
      <c r="E35" s="141" t="s">
        <v>139</v>
      </c>
      <c r="F35" s="20"/>
      <c r="G35" s="20"/>
      <c r="H35" s="20"/>
      <c r="I35" s="20"/>
      <c r="J35" s="20" t="s">
        <v>140</v>
      </c>
      <c r="K35" s="20" t="s">
        <v>141</v>
      </c>
      <c r="L35" s="130" t="s">
        <v>12</v>
      </c>
      <c r="M35" s="130" t="s">
        <v>12</v>
      </c>
      <c r="N35" s="20"/>
      <c r="O35" s="88" t="s">
        <v>333</v>
      </c>
      <c r="P35" s="20">
        <v>6</v>
      </c>
      <c r="Q35" s="10" t="s">
        <v>334</v>
      </c>
      <c r="R35" s="21" t="s">
        <v>335</v>
      </c>
      <c r="S35" s="20" t="s">
        <v>336</v>
      </c>
      <c r="T35" s="20" t="s">
        <v>337</v>
      </c>
      <c r="U35" s="20">
        <v>8970</v>
      </c>
      <c r="V35" s="20"/>
      <c r="W35" s="20"/>
      <c r="X35" s="20"/>
      <c r="Y35" s="20" t="s">
        <v>338</v>
      </c>
    </row>
    <row r="36" spans="1:25" ht="45" x14ac:dyDescent="0.25">
      <c r="A36" s="139" t="s">
        <v>142</v>
      </c>
      <c r="B36" s="169" t="s">
        <v>143</v>
      </c>
      <c r="C36" s="139">
        <v>2023</v>
      </c>
      <c r="D36" s="139" t="s">
        <v>187</v>
      </c>
      <c r="E36" s="139" t="s">
        <v>144</v>
      </c>
      <c r="F36" s="21"/>
      <c r="G36" s="21"/>
      <c r="H36" s="21"/>
      <c r="I36" s="21"/>
      <c r="J36" s="21"/>
      <c r="K36" s="22" t="s">
        <v>145</v>
      </c>
      <c r="L36" s="22"/>
      <c r="M36" s="22"/>
      <c r="N36" s="22"/>
      <c r="O36" s="22" t="s">
        <v>339</v>
      </c>
      <c r="P36" s="22">
        <v>4</v>
      </c>
      <c r="Q36" s="1"/>
      <c r="R36" s="22" t="s">
        <v>200</v>
      </c>
      <c r="S36" s="22" t="s">
        <v>340</v>
      </c>
      <c r="T36" s="11" t="s">
        <v>341</v>
      </c>
      <c r="U36" s="11" t="s">
        <v>342</v>
      </c>
      <c r="V36" s="22"/>
      <c r="W36" s="72" t="s">
        <v>343</v>
      </c>
      <c r="X36" s="72"/>
      <c r="Y36" s="72">
        <v>0.99409999999999998</v>
      </c>
    </row>
    <row r="37" spans="1:25" ht="150" x14ac:dyDescent="0.25">
      <c r="A37" s="6" t="s">
        <v>146</v>
      </c>
      <c r="B37" s="83" t="s">
        <v>138</v>
      </c>
      <c r="C37" s="22">
        <v>2022</v>
      </c>
      <c r="D37" s="21" t="s">
        <v>187</v>
      </c>
      <c r="E37" s="21" t="s">
        <v>147</v>
      </c>
      <c r="F37" s="21"/>
      <c r="G37" s="21" t="s">
        <v>148</v>
      </c>
      <c r="H37" s="21"/>
      <c r="I37" s="21"/>
      <c r="J37" s="21" t="s">
        <v>149</v>
      </c>
      <c r="K37" s="11" t="s">
        <v>150</v>
      </c>
      <c r="L37" s="22"/>
      <c r="M37" s="22"/>
      <c r="N37" s="11"/>
      <c r="O37" s="92" t="s">
        <v>344</v>
      </c>
      <c r="P37" s="11">
        <v>10</v>
      </c>
      <c r="Q37" s="8" t="s">
        <v>345</v>
      </c>
      <c r="R37" s="22" t="s">
        <v>346</v>
      </c>
      <c r="S37" s="11" t="s">
        <v>347</v>
      </c>
      <c r="T37" s="11" t="s">
        <v>186</v>
      </c>
      <c r="U37" s="69" t="s">
        <v>348</v>
      </c>
      <c r="V37" s="22"/>
      <c r="W37" s="72">
        <v>0.90600000000000003</v>
      </c>
      <c r="X37" s="72"/>
      <c r="Y37" s="72"/>
    </row>
    <row r="38" spans="1:25" x14ac:dyDescent="0.25">
      <c r="A38" s="159"/>
      <c r="B38" s="94"/>
      <c r="C38" s="94"/>
      <c r="D38" s="94"/>
      <c r="E38" s="94"/>
      <c r="F38" s="94"/>
      <c r="G38" s="94"/>
      <c r="H38" s="94"/>
      <c r="I38" s="94"/>
      <c r="J38" s="94"/>
      <c r="K38" s="91"/>
      <c r="L38" s="94"/>
      <c r="M38" s="94"/>
      <c r="N38" s="91"/>
      <c r="O38" s="160"/>
      <c r="P38" s="91"/>
      <c r="Q38" s="26"/>
      <c r="R38" s="94"/>
      <c r="S38" s="91"/>
      <c r="T38" s="91"/>
      <c r="U38" s="69"/>
      <c r="V38" s="94"/>
      <c r="W38" s="161"/>
      <c r="X38" s="161"/>
      <c r="Y38" s="161"/>
    </row>
    <row r="40" spans="1:25" ht="31.5" x14ac:dyDescent="0.5">
      <c r="A40" s="154" t="s">
        <v>151</v>
      </c>
    </row>
    <row r="41" spans="1:25" ht="135" x14ac:dyDescent="0.25">
      <c r="A41" s="1" t="s">
        <v>152</v>
      </c>
      <c r="B41" s="83" t="s">
        <v>153</v>
      </c>
      <c r="C41" s="22">
        <v>2022</v>
      </c>
      <c r="D41" s="22" t="s">
        <v>194</v>
      </c>
      <c r="E41" s="22" t="s">
        <v>154</v>
      </c>
      <c r="F41" s="130" t="s">
        <v>12</v>
      </c>
      <c r="G41" s="130" t="s">
        <v>12</v>
      </c>
      <c r="H41" s="22"/>
      <c r="I41" s="22"/>
      <c r="J41" s="22">
        <v>1</v>
      </c>
      <c r="K41" s="22" t="s">
        <v>155</v>
      </c>
      <c r="L41" s="130" t="s">
        <v>12</v>
      </c>
      <c r="M41" s="130" t="s">
        <v>12</v>
      </c>
      <c r="N41" s="94" t="s">
        <v>349</v>
      </c>
      <c r="O41" s="95" t="s">
        <v>350</v>
      </c>
      <c r="P41" s="22">
        <v>9</v>
      </c>
      <c r="Q41" s="52" t="s">
        <v>351</v>
      </c>
      <c r="R41" s="45" t="s">
        <v>329</v>
      </c>
      <c r="S41" s="70" t="s">
        <v>352</v>
      </c>
      <c r="T41" s="77"/>
      <c r="U41" s="22"/>
      <c r="V41" s="22"/>
      <c r="W41" s="74"/>
      <c r="X41" s="22"/>
      <c r="Y41" s="74">
        <v>0.87</v>
      </c>
    </row>
    <row r="42" spans="1:25" ht="31.5" x14ac:dyDescent="0.5">
      <c r="A42" s="158" t="s">
        <v>156</v>
      </c>
    </row>
    <row r="43" spans="1:25" ht="105" x14ac:dyDescent="0.25">
      <c r="A43" s="1" t="s">
        <v>157</v>
      </c>
      <c r="B43" s="83" t="s">
        <v>158</v>
      </c>
      <c r="C43" s="22">
        <v>2021</v>
      </c>
      <c r="D43" s="22" t="s">
        <v>187</v>
      </c>
      <c r="E43" s="22" t="s">
        <v>156</v>
      </c>
      <c r="F43" s="22"/>
      <c r="G43" s="22" t="s">
        <v>159</v>
      </c>
      <c r="H43" s="22"/>
      <c r="I43" s="22"/>
      <c r="J43" s="22" t="s">
        <v>160</v>
      </c>
      <c r="K43" s="22" t="s">
        <v>156</v>
      </c>
      <c r="L43" s="22"/>
      <c r="M43" s="22"/>
      <c r="N43" s="22" t="s">
        <v>353</v>
      </c>
      <c r="O43" s="22" t="s">
        <v>354</v>
      </c>
      <c r="P43" s="22">
        <v>5</v>
      </c>
      <c r="Q43" s="1" t="s">
        <v>355</v>
      </c>
      <c r="R43" s="22" t="s">
        <v>356</v>
      </c>
      <c r="S43" s="22" t="s">
        <v>357</v>
      </c>
      <c r="T43" s="22" t="s">
        <v>156</v>
      </c>
      <c r="U43" s="22" t="s">
        <v>243</v>
      </c>
      <c r="V43" s="22"/>
      <c r="W43" s="22">
        <v>97.02</v>
      </c>
      <c r="X43" s="22"/>
      <c r="Y43" s="22"/>
    </row>
    <row r="44" spans="1:25" ht="30" x14ac:dyDescent="0.25">
      <c r="A44" s="24" t="s">
        <v>161</v>
      </c>
      <c r="B44" s="105" t="s">
        <v>162</v>
      </c>
      <c r="C44" s="105">
        <v>2022</v>
      </c>
      <c r="D44" s="105" t="s">
        <v>206</v>
      </c>
      <c r="E44" s="105" t="s">
        <v>156</v>
      </c>
      <c r="F44" s="105"/>
      <c r="G44" s="105"/>
      <c r="H44" s="105"/>
      <c r="I44" s="105"/>
      <c r="J44" s="105"/>
      <c r="K44" s="67" t="s">
        <v>163</v>
      </c>
      <c r="L44" s="67"/>
      <c r="M44" s="67"/>
      <c r="N44" s="105" t="s">
        <v>358</v>
      </c>
      <c r="O44" s="105" t="s">
        <v>359</v>
      </c>
      <c r="P44" s="105">
        <v>6</v>
      </c>
      <c r="Q44" s="168" t="s">
        <v>360</v>
      </c>
      <c r="R44" s="124" t="s">
        <v>274</v>
      </c>
      <c r="S44" s="105" t="s">
        <v>361</v>
      </c>
      <c r="T44" s="105" t="s">
        <v>362</v>
      </c>
      <c r="U44" s="105">
        <v>3600</v>
      </c>
      <c r="V44" s="105">
        <v>78.569999999999993</v>
      </c>
      <c r="W44" s="107">
        <v>0.84619999999999995</v>
      </c>
      <c r="X44" s="105">
        <v>84.62</v>
      </c>
      <c r="Y44" s="105"/>
    </row>
    <row r="45" spans="1:25" ht="45" x14ac:dyDescent="0.25">
      <c r="S45" s="94" t="s">
        <v>363</v>
      </c>
      <c r="W45" s="95" t="s">
        <v>364</v>
      </c>
    </row>
  </sheetData>
  <hyperlinks>
    <hyperlink ref="F21" r:id="rId1" xr:uid="{00000000-0004-0000-0200-000000000000}"/>
  </hyperlink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topLeftCell="F9" workbookViewId="0">
      <selection activeCell="V27" sqref="V27"/>
    </sheetView>
  </sheetViews>
  <sheetFormatPr defaultRowHeight="15" x14ac:dyDescent="0.25"/>
  <sheetData>
    <row r="1" spans="1:12" x14ac:dyDescent="0.25">
      <c r="A1" s="21">
        <v>5</v>
      </c>
      <c r="B1" s="22">
        <v>6</v>
      </c>
      <c r="F1" s="22" t="s">
        <v>25</v>
      </c>
      <c r="G1" s="11">
        <v>8</v>
      </c>
      <c r="H1" t="s">
        <v>365</v>
      </c>
      <c r="I1" t="s">
        <v>366</v>
      </c>
      <c r="J1">
        <v>4</v>
      </c>
    </row>
    <row r="2" spans="1:12" x14ac:dyDescent="0.25">
      <c r="A2" s="21">
        <v>4</v>
      </c>
      <c r="B2" s="22">
        <v>2</v>
      </c>
      <c r="F2" s="22" t="s">
        <v>367</v>
      </c>
      <c r="G2" s="22">
        <v>4</v>
      </c>
      <c r="H2" t="s">
        <v>25</v>
      </c>
      <c r="I2" t="s">
        <v>368</v>
      </c>
      <c r="J2">
        <v>4</v>
      </c>
      <c r="K2">
        <v>6</v>
      </c>
      <c r="L2">
        <v>8</v>
      </c>
    </row>
    <row r="3" spans="1:12" x14ac:dyDescent="0.25">
      <c r="A3" s="22">
        <v>8</v>
      </c>
      <c r="B3" s="22">
        <v>5</v>
      </c>
      <c r="F3" s="22" t="s">
        <v>25</v>
      </c>
      <c r="G3" s="22">
        <v>6</v>
      </c>
      <c r="H3" t="s">
        <v>369</v>
      </c>
      <c r="I3" t="s">
        <v>370</v>
      </c>
      <c r="J3">
        <v>7</v>
      </c>
    </row>
    <row r="4" spans="1:12" x14ac:dyDescent="0.25">
      <c r="A4" s="22">
        <v>4</v>
      </c>
      <c r="B4" s="22">
        <v>2</v>
      </c>
      <c r="F4" s="22" t="s">
        <v>73</v>
      </c>
      <c r="G4" s="22">
        <v>7</v>
      </c>
      <c r="H4" t="s">
        <v>371</v>
      </c>
      <c r="I4" t="s">
        <v>372</v>
      </c>
      <c r="J4">
        <v>5</v>
      </c>
      <c r="K4">
        <v>6</v>
      </c>
      <c r="L4">
        <v>10</v>
      </c>
    </row>
    <row r="5" spans="1:12" x14ac:dyDescent="0.25">
      <c r="A5" s="22">
        <v>8</v>
      </c>
      <c r="B5" s="79">
        <v>6</v>
      </c>
      <c r="F5" s="22" t="s">
        <v>25</v>
      </c>
      <c r="G5" s="105">
        <v>4</v>
      </c>
    </row>
    <row r="6" spans="1:12" x14ac:dyDescent="0.25">
      <c r="A6" s="22">
        <v>8</v>
      </c>
      <c r="B6" s="45">
        <v>12</v>
      </c>
      <c r="F6" s="124" t="s">
        <v>94</v>
      </c>
      <c r="G6" s="112">
        <v>5</v>
      </c>
    </row>
    <row r="7" spans="1:12" x14ac:dyDescent="0.25">
      <c r="A7" s="22">
        <v>9</v>
      </c>
      <c r="B7" s="84">
        <v>5</v>
      </c>
      <c r="F7" s="20" t="s">
        <v>373</v>
      </c>
      <c r="G7" s="20">
        <v>6</v>
      </c>
    </row>
    <row r="8" spans="1:12" x14ac:dyDescent="0.25">
      <c r="A8" s="22">
        <v>6</v>
      </c>
      <c r="B8" s="22">
        <v>6</v>
      </c>
      <c r="F8" s="20" t="s">
        <v>373</v>
      </c>
      <c r="G8" s="20">
        <v>10</v>
      </c>
    </row>
    <row r="9" spans="1:12" x14ac:dyDescent="0.25">
      <c r="A9" s="22">
        <v>6</v>
      </c>
      <c r="B9" s="22">
        <v>6</v>
      </c>
      <c r="F9" t="s">
        <v>374</v>
      </c>
      <c r="G9">
        <v>5</v>
      </c>
    </row>
    <row r="10" spans="1:12" x14ac:dyDescent="0.25">
      <c r="A10" s="22">
        <v>10</v>
      </c>
      <c r="B10" s="16">
        <v>11</v>
      </c>
    </row>
    <row r="11" spans="1:12" x14ac:dyDescent="0.25">
      <c r="A11" s="124">
        <v>9</v>
      </c>
      <c r="B11" s="105">
        <v>15</v>
      </c>
    </row>
    <row r="12" spans="1:12" x14ac:dyDescent="0.25">
      <c r="A12" s="123">
        <v>6</v>
      </c>
      <c r="B12" s="123">
        <v>7</v>
      </c>
    </row>
    <row r="13" spans="1:12" x14ac:dyDescent="0.25">
      <c r="A13" s="124">
        <v>6</v>
      </c>
      <c r="B13" s="124"/>
    </row>
    <row r="14" spans="1:12" x14ac:dyDescent="0.25">
      <c r="A14" s="124">
        <v>9</v>
      </c>
      <c r="B14" s="124">
        <v>11</v>
      </c>
    </row>
    <row r="15" spans="1:12" x14ac:dyDescent="0.25">
      <c r="A15" s="143">
        <v>1</v>
      </c>
      <c r="B15" s="143">
        <v>3</v>
      </c>
    </row>
    <row r="16" spans="1:12" x14ac:dyDescent="0.25">
      <c r="A16" s="95">
        <v>4</v>
      </c>
      <c r="B16" s="95">
        <v>6</v>
      </c>
    </row>
    <row r="17" spans="1:2" x14ac:dyDescent="0.25">
      <c r="A17" s="95">
        <v>4</v>
      </c>
      <c r="B17" s="95">
        <v>9</v>
      </c>
    </row>
    <row r="18" spans="1:2" x14ac:dyDescent="0.25">
      <c r="A18" s="95">
        <v>9</v>
      </c>
      <c r="B18" s="95">
        <v>7</v>
      </c>
    </row>
    <row r="19" spans="1:2" x14ac:dyDescent="0.25">
      <c r="A19" s="22">
        <v>1</v>
      </c>
      <c r="B19" s="22">
        <v>5</v>
      </c>
    </row>
    <row r="20" spans="1:2" x14ac:dyDescent="0.25">
      <c r="A20" s="20">
        <v>1</v>
      </c>
      <c r="B20" s="11">
        <v>4</v>
      </c>
    </row>
    <row r="21" spans="1:2" x14ac:dyDescent="0.25">
      <c r="A21" s="22">
        <v>2</v>
      </c>
      <c r="B21" s="22">
        <v>4</v>
      </c>
    </row>
    <row r="22" spans="1:2" x14ac:dyDescent="0.25">
      <c r="A22" s="22">
        <v>1</v>
      </c>
      <c r="B22" s="22">
        <v>9</v>
      </c>
    </row>
    <row r="23" spans="1:2" x14ac:dyDescent="0.25">
      <c r="A23" s="22"/>
      <c r="B23" s="22"/>
    </row>
    <row r="24" spans="1:2" x14ac:dyDescent="0.25">
      <c r="A24" s="105"/>
      <c r="B24" s="10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42"/>
  <sheetViews>
    <sheetView zoomScale="85" zoomScaleNormal="85" workbookViewId="0">
      <pane ySplit="1" topLeftCell="A23" activePane="bottomLeft" state="frozen"/>
      <selection pane="bottomLeft" activeCell="AC19" sqref="AC19"/>
    </sheetView>
  </sheetViews>
  <sheetFormatPr defaultColWidth="13.28515625" defaultRowHeight="15" x14ac:dyDescent="0.25"/>
  <cols>
    <col min="1" max="1" width="39.5703125" customWidth="1"/>
    <col min="2" max="2" width="13.42578125" style="95" bestFit="1" customWidth="1"/>
    <col min="3" max="4" width="13.28515625" style="95" customWidth="1"/>
    <col min="5" max="5" width="13.7109375" style="95" customWidth="1"/>
    <col min="6" max="7" width="17.42578125" style="95" customWidth="1"/>
    <col min="8" max="9" width="13.28515625" style="95" customWidth="1"/>
    <col min="10" max="13" width="22.85546875" style="95" customWidth="1"/>
    <col min="14" max="14" width="16.5703125" style="95" customWidth="1"/>
    <col min="15" max="15" width="10" style="95" customWidth="1"/>
    <col min="16" max="16" width="43.7109375" style="95" customWidth="1"/>
    <col min="17" max="17" width="22.140625" style="95" customWidth="1"/>
    <col min="18" max="18" width="23.28515625" style="95" customWidth="1"/>
    <col min="19" max="20" width="20.140625" style="95" customWidth="1"/>
    <col min="21" max="21" width="13.28515625" style="95" customWidth="1"/>
    <col min="22" max="24" width="21.85546875" style="95" customWidth="1"/>
    <col min="25" max="25" width="66.5703125" style="102" customWidth="1"/>
    <col min="26" max="26" width="35.28515625" style="95" customWidth="1"/>
    <col min="27" max="27" width="26" style="95" customWidth="1"/>
    <col min="28" max="28" width="59.42578125" style="102" customWidth="1"/>
    <col min="29" max="29" width="98.85546875" style="95" customWidth="1"/>
    <col min="30" max="30" width="9.140625"/>
  </cols>
  <sheetData>
    <row r="1" spans="1:29" ht="31.5" x14ac:dyDescent="0.25">
      <c r="A1" s="5" t="s">
        <v>0</v>
      </c>
      <c r="B1" s="19" t="s">
        <v>1</v>
      </c>
      <c r="C1" s="19" t="s">
        <v>2</v>
      </c>
      <c r="D1" s="19" t="s">
        <v>164</v>
      </c>
      <c r="E1" s="19" t="s">
        <v>3</v>
      </c>
      <c r="F1" s="19" t="s">
        <v>4</v>
      </c>
      <c r="G1" s="19" t="s">
        <v>5</v>
      </c>
      <c r="H1" s="19" t="s">
        <v>6</v>
      </c>
      <c r="I1" s="19" t="s">
        <v>7</v>
      </c>
      <c r="J1" s="19" t="s">
        <v>8</v>
      </c>
      <c r="K1" s="19" t="s">
        <v>165</v>
      </c>
      <c r="L1" s="19" t="s">
        <v>166</v>
      </c>
      <c r="M1" s="19" t="s">
        <v>167</v>
      </c>
      <c r="N1" s="19" t="s">
        <v>168</v>
      </c>
      <c r="O1" s="19" t="s">
        <v>169</v>
      </c>
      <c r="P1" s="19" t="s">
        <v>170</v>
      </c>
      <c r="Q1" s="122" t="s">
        <v>171</v>
      </c>
      <c r="R1" s="19" t="s">
        <v>172</v>
      </c>
      <c r="S1" s="19" t="s">
        <v>173</v>
      </c>
      <c r="T1" s="19" t="s">
        <v>174</v>
      </c>
      <c r="U1" s="19" t="s">
        <v>175</v>
      </c>
      <c r="V1" s="19" t="s">
        <v>176</v>
      </c>
      <c r="W1" s="19" t="s">
        <v>177</v>
      </c>
      <c r="X1" s="19" t="s">
        <v>178</v>
      </c>
      <c r="Y1" s="86" t="s">
        <v>375</v>
      </c>
      <c r="Z1" s="19" t="s">
        <v>376</v>
      </c>
      <c r="AA1" s="87" t="s">
        <v>377</v>
      </c>
      <c r="AB1" s="102" t="s">
        <v>378</v>
      </c>
      <c r="AC1" s="95" t="s">
        <v>379</v>
      </c>
    </row>
    <row r="3" spans="1:29" ht="75" x14ac:dyDescent="0.25">
      <c r="A3" s="6" t="s">
        <v>9</v>
      </c>
      <c r="B3" s="83" t="s">
        <v>10</v>
      </c>
      <c r="C3" s="21">
        <v>2023</v>
      </c>
      <c r="D3" s="21" t="s">
        <v>179</v>
      </c>
      <c r="E3" s="21" t="s">
        <v>54</v>
      </c>
      <c r="F3" s="21"/>
      <c r="G3" s="21"/>
      <c r="H3" s="21"/>
      <c r="I3" s="21"/>
      <c r="J3" s="22" t="s">
        <v>13</v>
      </c>
      <c r="K3" s="22" t="s">
        <v>12</v>
      </c>
      <c r="L3" s="22" t="s">
        <v>12</v>
      </c>
      <c r="M3" s="22" t="s">
        <v>181</v>
      </c>
      <c r="N3" s="22" t="s">
        <v>182</v>
      </c>
      <c r="O3" s="22">
        <v>6</v>
      </c>
      <c r="P3" s="22" t="s">
        <v>183</v>
      </c>
      <c r="Q3" s="22" t="s">
        <v>184</v>
      </c>
      <c r="R3" s="22" t="s">
        <v>185</v>
      </c>
      <c r="S3" s="11" t="s">
        <v>186</v>
      </c>
      <c r="T3" s="91"/>
      <c r="U3" s="22"/>
      <c r="V3" s="72"/>
      <c r="W3" s="72"/>
      <c r="X3" s="72"/>
      <c r="Z3" s="22" t="s">
        <v>380</v>
      </c>
      <c r="AA3" s="7"/>
    </row>
    <row r="4" spans="1:29" ht="30" x14ac:dyDescent="0.25">
      <c r="A4" s="119" t="s">
        <v>14</v>
      </c>
      <c r="B4" s="120" t="s">
        <v>15</v>
      </c>
      <c r="C4" s="121">
        <v>2023</v>
      </c>
      <c r="D4" s="21" t="s">
        <v>187</v>
      </c>
      <c r="E4" s="147" t="s">
        <v>11</v>
      </c>
      <c r="F4" s="21" t="s">
        <v>17</v>
      </c>
      <c r="G4" s="21" t="s">
        <v>17</v>
      </c>
      <c r="H4" s="21" t="s">
        <v>18</v>
      </c>
      <c r="I4" s="21">
        <v>4</v>
      </c>
      <c r="J4" s="22" t="s">
        <v>19</v>
      </c>
      <c r="K4" s="127" t="s">
        <v>188</v>
      </c>
      <c r="L4" s="127" t="s">
        <v>189</v>
      </c>
      <c r="M4" s="22" t="s">
        <v>190</v>
      </c>
      <c r="N4" s="22" t="s">
        <v>182</v>
      </c>
      <c r="O4" s="22">
        <v>2</v>
      </c>
      <c r="P4" s="22" t="s">
        <v>191</v>
      </c>
      <c r="Q4" s="22" t="s">
        <v>192</v>
      </c>
      <c r="R4" s="22" t="s">
        <v>193</v>
      </c>
      <c r="S4" s="11"/>
      <c r="T4" s="91"/>
      <c r="U4" s="22"/>
      <c r="V4" s="72"/>
      <c r="W4" s="72"/>
      <c r="X4" s="72"/>
      <c r="Z4" s="22"/>
      <c r="AA4" s="7"/>
    </row>
    <row r="6" spans="1:29" ht="120" x14ac:dyDescent="0.25">
      <c r="A6" s="1" t="s">
        <v>20</v>
      </c>
      <c r="B6" s="83" t="s">
        <v>21</v>
      </c>
      <c r="C6" s="22">
        <v>2022</v>
      </c>
      <c r="D6" s="22" t="s">
        <v>194</v>
      </c>
      <c r="E6" s="148" t="s">
        <v>11</v>
      </c>
      <c r="F6" s="22" t="s">
        <v>22</v>
      </c>
      <c r="G6" s="22" t="s">
        <v>23</v>
      </c>
      <c r="H6" s="22" t="s">
        <v>24</v>
      </c>
      <c r="I6" s="22"/>
      <c r="J6" s="22" t="s">
        <v>26</v>
      </c>
      <c r="K6" s="127" t="s">
        <v>188</v>
      </c>
      <c r="L6" s="127" t="s">
        <v>195</v>
      </c>
      <c r="M6" s="11"/>
      <c r="N6" s="92" t="s">
        <v>196</v>
      </c>
      <c r="O6" s="11">
        <v>8</v>
      </c>
      <c r="P6" s="11" t="s">
        <v>197</v>
      </c>
      <c r="Q6" s="22" t="s">
        <v>198</v>
      </c>
      <c r="R6" s="11" t="s">
        <v>199</v>
      </c>
      <c r="S6" s="11" t="s">
        <v>200</v>
      </c>
      <c r="T6" s="11" t="s">
        <v>200</v>
      </c>
      <c r="U6" s="11"/>
      <c r="V6" s="73">
        <v>0.98</v>
      </c>
      <c r="W6" s="11"/>
      <c r="X6" s="11"/>
      <c r="Y6" s="90"/>
      <c r="Z6" s="11" t="s">
        <v>381</v>
      </c>
      <c r="AA6" s="11"/>
      <c r="AB6" s="103" t="s">
        <v>382</v>
      </c>
    </row>
    <row r="8" spans="1:29" ht="295.5" customHeight="1" x14ac:dyDescent="0.25">
      <c r="A8" s="1" t="s">
        <v>27</v>
      </c>
      <c r="B8" s="83" t="s">
        <v>28</v>
      </c>
      <c r="C8" s="22">
        <v>2022</v>
      </c>
      <c r="D8" s="22" t="s">
        <v>187</v>
      </c>
      <c r="E8" s="22"/>
      <c r="F8" s="22"/>
      <c r="G8" s="22"/>
      <c r="H8" s="22"/>
      <c r="I8" s="22"/>
      <c r="J8" s="22" t="s">
        <v>32</v>
      </c>
      <c r="K8" s="22"/>
      <c r="L8" s="22"/>
      <c r="M8" s="22"/>
      <c r="N8" s="22" t="s">
        <v>202</v>
      </c>
      <c r="O8" s="22">
        <v>5</v>
      </c>
      <c r="P8" s="22" t="s">
        <v>203</v>
      </c>
      <c r="Q8" s="22" t="s">
        <v>204</v>
      </c>
      <c r="R8" s="22" t="s">
        <v>205</v>
      </c>
      <c r="S8" s="22"/>
      <c r="T8" s="22"/>
      <c r="U8" s="22"/>
      <c r="V8" s="22"/>
      <c r="W8" s="22"/>
      <c r="X8" s="22"/>
      <c r="Y8" s="93" t="s">
        <v>383</v>
      </c>
      <c r="Z8" s="22"/>
      <c r="AA8" s="22"/>
      <c r="AB8" s="93" t="s">
        <v>384</v>
      </c>
      <c r="AC8" s="103" t="s">
        <v>385</v>
      </c>
    </row>
    <row r="9" spans="1:29" ht="45" x14ac:dyDescent="0.25">
      <c r="A9" s="1" t="s">
        <v>386</v>
      </c>
      <c r="B9" s="83" t="s">
        <v>34</v>
      </c>
      <c r="C9" s="22">
        <v>2022</v>
      </c>
      <c r="D9" s="22"/>
      <c r="E9" s="22"/>
      <c r="F9" s="22"/>
      <c r="G9" s="22"/>
      <c r="H9" s="22"/>
      <c r="I9" s="22"/>
      <c r="J9" s="22" t="s">
        <v>35</v>
      </c>
      <c r="K9" s="22"/>
      <c r="L9" s="22"/>
      <c r="M9" s="22"/>
      <c r="N9" s="22" t="s">
        <v>207</v>
      </c>
      <c r="O9" s="22">
        <v>2</v>
      </c>
      <c r="P9" s="22" t="s">
        <v>208</v>
      </c>
      <c r="Q9" s="78" t="s">
        <v>209</v>
      </c>
      <c r="R9" s="78" t="s">
        <v>193</v>
      </c>
      <c r="S9" s="22" t="s">
        <v>200</v>
      </c>
      <c r="T9" s="22" t="s">
        <v>200</v>
      </c>
      <c r="U9" s="22" t="s">
        <v>200</v>
      </c>
      <c r="V9" s="22" t="s">
        <v>200</v>
      </c>
      <c r="W9" s="22" t="s">
        <v>200</v>
      </c>
      <c r="X9" s="22" t="s">
        <v>200</v>
      </c>
      <c r="Y9" s="93"/>
      <c r="Z9" s="22"/>
      <c r="AA9" s="22"/>
      <c r="AB9" s="103" t="s">
        <v>387</v>
      </c>
    </row>
    <row r="10" spans="1:29" ht="194.25" customHeight="1" x14ac:dyDescent="0.25">
      <c r="A10" s="1" t="s">
        <v>388</v>
      </c>
      <c r="B10" s="83" t="s">
        <v>153</v>
      </c>
      <c r="C10" s="22">
        <v>2022</v>
      </c>
      <c r="D10" s="22" t="s">
        <v>194</v>
      </c>
      <c r="E10" s="22"/>
      <c r="F10" s="22"/>
      <c r="G10" s="22"/>
      <c r="H10" s="22"/>
      <c r="I10" s="22"/>
      <c r="J10" s="22" t="s">
        <v>155</v>
      </c>
      <c r="K10" s="94"/>
      <c r="L10" s="94"/>
      <c r="M10" s="94"/>
      <c r="N10" s="95" t="s">
        <v>350</v>
      </c>
      <c r="O10" s="22">
        <v>9</v>
      </c>
      <c r="P10" s="94" t="s">
        <v>351</v>
      </c>
      <c r="Q10" s="45" t="s">
        <v>329</v>
      </c>
      <c r="R10" s="70" t="s">
        <v>352</v>
      </c>
      <c r="S10" s="77"/>
      <c r="T10" s="22"/>
      <c r="U10" s="22"/>
      <c r="V10" s="74"/>
      <c r="W10" s="22"/>
      <c r="X10" s="74">
        <v>0.87</v>
      </c>
      <c r="Y10" s="93" t="s">
        <v>389</v>
      </c>
      <c r="Z10" s="22" t="s">
        <v>390</v>
      </c>
      <c r="AA10" s="22"/>
      <c r="AB10" s="103" t="s">
        <v>391</v>
      </c>
      <c r="AC10" s="94" t="s">
        <v>392</v>
      </c>
    </row>
    <row r="11" spans="1:29" ht="90" x14ac:dyDescent="0.25">
      <c r="A11" s="1" t="s">
        <v>36</v>
      </c>
      <c r="B11" s="83" t="s">
        <v>37</v>
      </c>
      <c r="C11" s="22">
        <v>2022</v>
      </c>
      <c r="D11" s="22" t="s">
        <v>179</v>
      </c>
      <c r="E11" s="22"/>
      <c r="F11" s="22"/>
      <c r="G11" s="22"/>
      <c r="H11" s="22"/>
      <c r="I11" s="22"/>
      <c r="J11" s="22" t="s">
        <v>39</v>
      </c>
      <c r="K11" s="22"/>
      <c r="L11" s="22"/>
      <c r="M11" s="22" t="s">
        <v>210</v>
      </c>
      <c r="N11" s="22" t="s">
        <v>211</v>
      </c>
      <c r="O11" s="79">
        <v>6</v>
      </c>
      <c r="P11" s="96" t="s">
        <v>212</v>
      </c>
      <c r="Q11" s="96" t="s">
        <v>213</v>
      </c>
      <c r="R11" s="80" t="s">
        <v>214</v>
      </c>
      <c r="S11" s="104" t="s">
        <v>200</v>
      </c>
      <c r="T11" s="83" t="s">
        <v>200</v>
      </c>
      <c r="U11" s="22" t="s">
        <v>200</v>
      </c>
      <c r="V11" s="22" t="s">
        <v>215</v>
      </c>
      <c r="W11" s="22"/>
      <c r="X11" s="22"/>
      <c r="Y11" s="93" t="s">
        <v>393</v>
      </c>
      <c r="Z11" s="22" t="s">
        <v>394</v>
      </c>
      <c r="AA11" s="22"/>
      <c r="AB11" s="103" t="s">
        <v>395</v>
      </c>
      <c r="AC11" s="103" t="s">
        <v>396</v>
      </c>
    </row>
    <row r="12" spans="1:29" ht="225" x14ac:dyDescent="0.25">
      <c r="A12" s="1" t="s">
        <v>40</v>
      </c>
      <c r="B12" s="83" t="s">
        <v>41</v>
      </c>
      <c r="C12" s="22">
        <v>2018</v>
      </c>
      <c r="D12" s="22" t="s">
        <v>206</v>
      </c>
      <c r="E12" s="22"/>
      <c r="F12" s="22"/>
      <c r="G12" s="22"/>
      <c r="H12" s="22"/>
      <c r="I12" s="22"/>
      <c r="J12" s="22" t="s">
        <v>19</v>
      </c>
      <c r="K12" s="127" t="s">
        <v>188</v>
      </c>
      <c r="L12" s="127" t="s">
        <v>216</v>
      </c>
      <c r="M12" s="97" t="s">
        <v>217</v>
      </c>
      <c r="N12" s="97" t="s">
        <v>218</v>
      </c>
      <c r="O12" s="45">
        <v>12</v>
      </c>
      <c r="P12" s="98" t="s">
        <v>219</v>
      </c>
      <c r="Q12" s="123" t="s">
        <v>220</v>
      </c>
      <c r="R12" s="81" t="s">
        <v>221</v>
      </c>
      <c r="S12" s="82" t="s">
        <v>186</v>
      </c>
      <c r="T12" s="83" t="s">
        <v>222</v>
      </c>
      <c r="U12" s="22"/>
      <c r="V12" s="74">
        <v>0.95</v>
      </c>
      <c r="W12" s="22"/>
      <c r="X12" s="22"/>
      <c r="Y12" s="93" t="s">
        <v>397</v>
      </c>
      <c r="Z12" s="22" t="s">
        <v>398</v>
      </c>
      <c r="AA12" s="22"/>
      <c r="AB12" s="103" t="s">
        <v>399</v>
      </c>
    </row>
    <row r="13" spans="1:29" ht="112.5" x14ac:dyDescent="0.25">
      <c r="A13" s="1" t="s">
        <v>44</v>
      </c>
      <c r="B13" s="83" t="s">
        <v>45</v>
      </c>
      <c r="C13" s="22">
        <v>2022</v>
      </c>
      <c r="D13" s="22" t="s">
        <v>187</v>
      </c>
      <c r="E13" s="22"/>
      <c r="F13" s="22"/>
      <c r="G13" s="22"/>
      <c r="H13" s="22"/>
      <c r="I13" s="22"/>
      <c r="J13" s="22" t="s">
        <v>47</v>
      </c>
      <c r="K13" s="22"/>
      <c r="L13" s="22"/>
      <c r="M13" s="22" t="s">
        <v>223</v>
      </c>
      <c r="N13" s="22" t="s">
        <v>224</v>
      </c>
      <c r="O13" s="84">
        <v>5</v>
      </c>
      <c r="P13" s="99" t="s">
        <v>225</v>
      </c>
      <c r="Q13" s="99" t="s">
        <v>226</v>
      </c>
      <c r="R13" s="45" t="s">
        <v>227</v>
      </c>
      <c r="S13" s="85" t="s">
        <v>228</v>
      </c>
      <c r="T13" s="22">
        <v>800</v>
      </c>
      <c r="U13" s="22"/>
      <c r="V13" s="22">
        <v>95.41</v>
      </c>
      <c r="W13" s="22"/>
      <c r="X13" s="22"/>
      <c r="Y13" s="93"/>
      <c r="Z13" s="22"/>
      <c r="AA13" s="22"/>
      <c r="AB13" s="103" t="s">
        <v>400</v>
      </c>
      <c r="AC13" s="103" t="s">
        <v>401</v>
      </c>
    </row>
    <row r="14" spans="1:29" ht="90" x14ac:dyDescent="0.25">
      <c r="A14" s="14" t="s">
        <v>48</v>
      </c>
      <c r="B14" s="100" t="s">
        <v>49</v>
      </c>
      <c r="C14" s="16">
        <v>2021</v>
      </c>
      <c r="D14" s="16" t="s">
        <v>187</v>
      </c>
      <c r="E14" s="16"/>
      <c r="F14" s="16"/>
      <c r="G14" s="16"/>
      <c r="H14" s="16"/>
      <c r="I14" s="16"/>
      <c r="J14" s="16" t="s">
        <v>54</v>
      </c>
      <c r="K14" s="16"/>
      <c r="L14" s="16"/>
      <c r="M14" s="16" t="s">
        <v>229</v>
      </c>
      <c r="N14" s="16" t="s">
        <v>230</v>
      </c>
      <c r="O14" s="16">
        <v>4</v>
      </c>
      <c r="P14" s="44" t="s">
        <v>231</v>
      </c>
      <c r="Q14" s="21" t="s">
        <v>232</v>
      </c>
      <c r="R14" s="44" t="s">
        <v>233</v>
      </c>
      <c r="S14" s="16" t="s">
        <v>234</v>
      </c>
      <c r="T14" s="16">
        <v>4096</v>
      </c>
      <c r="U14" s="16"/>
      <c r="V14" s="16" t="s">
        <v>235</v>
      </c>
      <c r="W14" s="16"/>
      <c r="X14" s="16"/>
      <c r="Y14" s="101" t="s">
        <v>402</v>
      </c>
      <c r="Z14" s="16" t="s">
        <v>403</v>
      </c>
      <c r="AA14" s="16"/>
      <c r="AB14" s="103" t="s">
        <v>404</v>
      </c>
      <c r="AC14" s="95" t="s">
        <v>405</v>
      </c>
    </row>
    <row r="15" spans="1:29" ht="75" x14ac:dyDescent="0.25">
      <c r="A15" s="14" t="s">
        <v>55</v>
      </c>
      <c r="B15" s="100" t="s">
        <v>56</v>
      </c>
      <c r="C15" s="16">
        <v>2021</v>
      </c>
      <c r="D15" s="16" t="s">
        <v>187</v>
      </c>
      <c r="E15" s="16"/>
      <c r="F15" s="16" t="s">
        <v>406</v>
      </c>
      <c r="G15" s="16"/>
      <c r="H15" s="16"/>
      <c r="I15" s="16"/>
      <c r="J15" s="16" t="s">
        <v>60</v>
      </c>
      <c r="K15" s="16"/>
      <c r="L15" s="16"/>
      <c r="M15" s="16" t="s">
        <v>237</v>
      </c>
      <c r="N15" s="16" t="s">
        <v>238</v>
      </c>
      <c r="O15" s="16">
        <v>6</v>
      </c>
      <c r="P15" s="16" t="s">
        <v>239</v>
      </c>
      <c r="Q15" s="22" t="s">
        <v>240</v>
      </c>
      <c r="R15" s="16" t="s">
        <v>241</v>
      </c>
      <c r="S15" s="16" t="s">
        <v>242</v>
      </c>
      <c r="T15" s="16" t="s">
        <v>243</v>
      </c>
      <c r="U15" s="16"/>
      <c r="V15" s="16" t="s">
        <v>244</v>
      </c>
      <c r="W15" s="16"/>
      <c r="X15" s="16"/>
      <c r="Y15" s="101" t="s">
        <v>407</v>
      </c>
      <c r="Z15" s="16" t="s">
        <v>408</v>
      </c>
      <c r="AA15" s="16" t="s">
        <v>409</v>
      </c>
      <c r="AB15" s="103" t="s">
        <v>410</v>
      </c>
      <c r="AC15" s="95" t="s">
        <v>411</v>
      </c>
    </row>
    <row r="16" spans="1:29" ht="90" x14ac:dyDescent="0.25">
      <c r="A16" s="14" t="s">
        <v>61</v>
      </c>
      <c r="B16" s="100" t="s">
        <v>62</v>
      </c>
      <c r="C16" s="16">
        <v>2021</v>
      </c>
      <c r="D16" s="16" t="s">
        <v>187</v>
      </c>
      <c r="E16" s="16"/>
      <c r="F16" s="16"/>
      <c r="G16" s="16"/>
      <c r="H16" s="16"/>
      <c r="I16" s="16"/>
      <c r="J16" s="16" t="s">
        <v>412</v>
      </c>
      <c r="K16" s="16"/>
      <c r="L16" s="16"/>
      <c r="M16" s="16" t="s">
        <v>245</v>
      </c>
      <c r="N16" s="16" t="s">
        <v>246</v>
      </c>
      <c r="O16" s="16">
        <v>6</v>
      </c>
      <c r="P16" s="14" t="s">
        <v>247</v>
      </c>
      <c r="Q16" s="22" t="s">
        <v>248</v>
      </c>
      <c r="R16" s="16" t="s">
        <v>249</v>
      </c>
      <c r="S16" s="16" t="s">
        <v>186</v>
      </c>
      <c r="T16" s="16">
        <v>8000</v>
      </c>
      <c r="U16" s="16">
        <v>95.87</v>
      </c>
      <c r="V16" s="75">
        <v>0.95669999999999999</v>
      </c>
      <c r="W16" s="16">
        <v>95.67</v>
      </c>
      <c r="X16" s="16"/>
      <c r="Y16" s="101" t="s">
        <v>413</v>
      </c>
      <c r="Z16" s="16" t="s">
        <v>414</v>
      </c>
      <c r="AA16" s="16"/>
      <c r="AB16" s="103" t="s">
        <v>415</v>
      </c>
      <c r="AC16" s="95" t="s">
        <v>416</v>
      </c>
    </row>
    <row r="17" spans="1:29" ht="105" x14ac:dyDescent="0.25">
      <c r="A17" s="14" t="s">
        <v>157</v>
      </c>
      <c r="B17" s="100" t="s">
        <v>158</v>
      </c>
      <c r="C17" s="16">
        <v>2021</v>
      </c>
      <c r="D17" s="16" t="s">
        <v>187</v>
      </c>
      <c r="E17" s="16"/>
      <c r="F17" s="16"/>
      <c r="G17" s="16"/>
      <c r="H17" s="16"/>
      <c r="I17" s="16"/>
      <c r="J17" s="16" t="s">
        <v>156</v>
      </c>
      <c r="K17" s="16"/>
      <c r="L17" s="16"/>
      <c r="M17" s="16" t="s">
        <v>353</v>
      </c>
      <c r="N17" s="16" t="s">
        <v>354</v>
      </c>
      <c r="O17" s="16">
        <v>5</v>
      </c>
      <c r="P17" s="14" t="s">
        <v>355</v>
      </c>
      <c r="Q17" s="22" t="s">
        <v>200</v>
      </c>
      <c r="R17" s="16" t="s">
        <v>357</v>
      </c>
      <c r="S17" s="16" t="s">
        <v>156</v>
      </c>
      <c r="T17" s="16" t="s">
        <v>243</v>
      </c>
      <c r="U17" s="16"/>
      <c r="V17" s="16">
        <v>97.02</v>
      </c>
      <c r="W17" s="16"/>
      <c r="X17" s="16"/>
      <c r="Y17" s="101" t="s">
        <v>417</v>
      </c>
      <c r="Z17" s="16" t="s">
        <v>418</v>
      </c>
      <c r="AA17" s="16"/>
      <c r="AB17" s="103" t="s">
        <v>419</v>
      </c>
      <c r="AC17" s="94" t="s">
        <v>420</v>
      </c>
    </row>
    <row r="18" spans="1:29" ht="120" x14ac:dyDescent="0.25">
      <c r="A18" s="14" t="s">
        <v>65</v>
      </c>
      <c r="B18" s="100" t="s">
        <v>66</v>
      </c>
      <c r="C18" s="16">
        <v>2021</v>
      </c>
      <c r="D18" s="16" t="s">
        <v>187</v>
      </c>
      <c r="E18" s="16"/>
      <c r="F18" s="16"/>
      <c r="G18" s="16"/>
      <c r="H18" s="16"/>
      <c r="I18" s="16"/>
      <c r="J18" s="16" t="s">
        <v>68</v>
      </c>
      <c r="K18" s="16"/>
      <c r="L18" s="16"/>
      <c r="M18" s="16" t="s">
        <v>250</v>
      </c>
      <c r="N18" s="16" t="s">
        <v>251</v>
      </c>
      <c r="O18" s="16">
        <v>6</v>
      </c>
      <c r="P18" s="14" t="s">
        <v>252</v>
      </c>
      <c r="Q18" s="22" t="s">
        <v>253</v>
      </c>
      <c r="R18" s="16" t="s">
        <v>254</v>
      </c>
      <c r="S18" s="16" t="s">
        <v>255</v>
      </c>
      <c r="T18" s="16" t="s">
        <v>256</v>
      </c>
      <c r="U18" s="16"/>
      <c r="V18" s="76">
        <v>0.81</v>
      </c>
      <c r="W18" s="16"/>
      <c r="X18" s="16"/>
      <c r="Y18" s="101" t="s">
        <v>421</v>
      </c>
      <c r="Z18" s="16" t="s">
        <v>422</v>
      </c>
      <c r="AA18" s="16"/>
      <c r="AB18" s="103" t="s">
        <v>423</v>
      </c>
      <c r="AC18" s="189" t="s">
        <v>424</v>
      </c>
    </row>
    <row r="19" spans="1:29" ht="67.5" x14ac:dyDescent="0.25">
      <c r="A19" s="1" t="s">
        <v>425</v>
      </c>
      <c r="B19" s="83" t="s">
        <v>70</v>
      </c>
      <c r="C19" s="22">
        <v>2021</v>
      </c>
      <c r="D19" s="22" t="s">
        <v>187</v>
      </c>
      <c r="E19" s="22" t="s">
        <v>54</v>
      </c>
      <c r="F19" s="22" t="s">
        <v>72</v>
      </c>
      <c r="G19" s="22"/>
      <c r="H19" s="22" t="s">
        <v>31</v>
      </c>
      <c r="I19" s="22" t="s">
        <v>73</v>
      </c>
      <c r="J19" s="22" t="s">
        <v>74</v>
      </c>
      <c r="K19" s="22"/>
      <c r="L19" s="128" t="s">
        <v>257</v>
      </c>
      <c r="M19" s="22" t="s">
        <v>258</v>
      </c>
      <c r="N19" s="22" t="s">
        <v>259</v>
      </c>
      <c r="O19" s="22">
        <v>7</v>
      </c>
      <c r="P19" s="22" t="s">
        <v>260</v>
      </c>
      <c r="Q19" s="22" t="s">
        <v>261</v>
      </c>
      <c r="R19" s="22" t="s">
        <v>262</v>
      </c>
      <c r="S19" s="22" t="s">
        <v>263</v>
      </c>
      <c r="T19" s="22" t="s">
        <v>264</v>
      </c>
      <c r="U19" s="22">
        <v>96.4</v>
      </c>
      <c r="V19" s="72">
        <v>0.97070000000000001</v>
      </c>
      <c r="W19" s="22">
        <v>96.3</v>
      </c>
      <c r="X19" s="22"/>
      <c r="Y19" s="93" t="s">
        <v>426</v>
      </c>
      <c r="Z19" s="22" t="s">
        <v>427</v>
      </c>
      <c r="AA19" s="22"/>
      <c r="AB19" s="103" t="s">
        <v>428</v>
      </c>
      <c r="AC19" s="118"/>
    </row>
    <row r="20" spans="1:29" ht="120" x14ac:dyDescent="0.25">
      <c r="A20" s="14" t="s">
        <v>75</v>
      </c>
      <c r="B20" s="100" t="s">
        <v>76</v>
      </c>
      <c r="C20" s="16">
        <v>2021</v>
      </c>
      <c r="D20" s="16" t="s">
        <v>206</v>
      </c>
      <c r="E20" s="16"/>
      <c r="F20" s="16"/>
      <c r="G20" s="16"/>
      <c r="H20" s="16"/>
      <c r="I20" s="16"/>
      <c r="J20" s="16" t="s">
        <v>79</v>
      </c>
      <c r="K20" s="16"/>
      <c r="L20" s="16"/>
      <c r="M20" s="16" t="s">
        <v>258</v>
      </c>
      <c r="N20" s="92" t="s">
        <v>266</v>
      </c>
      <c r="O20" s="16">
        <v>11</v>
      </c>
      <c r="P20" s="14" t="s">
        <v>267</v>
      </c>
      <c r="Q20" s="1" t="s">
        <v>268</v>
      </c>
      <c r="R20" s="16" t="s">
        <v>269</v>
      </c>
      <c r="S20" s="16" t="s">
        <v>270</v>
      </c>
      <c r="T20" s="16"/>
      <c r="U20" s="16"/>
      <c r="V20" s="16" t="s">
        <v>271</v>
      </c>
      <c r="W20" s="16"/>
      <c r="X20" s="16"/>
      <c r="Y20" s="101" t="s">
        <v>429</v>
      </c>
      <c r="Z20" s="16" t="s">
        <v>430</v>
      </c>
      <c r="AA20" s="16"/>
      <c r="AC20" s="118"/>
    </row>
    <row r="22" spans="1:29" ht="135" x14ac:dyDescent="0.25">
      <c r="A22" s="24" t="s">
        <v>431</v>
      </c>
      <c r="B22" s="105" t="s">
        <v>81</v>
      </c>
      <c r="C22" s="105">
        <v>2021</v>
      </c>
      <c r="D22" s="105" t="s">
        <v>187</v>
      </c>
      <c r="E22" s="105"/>
      <c r="F22" s="105"/>
      <c r="G22" s="105"/>
      <c r="H22" s="105"/>
      <c r="I22" s="105"/>
      <c r="J22" s="67" t="s">
        <v>82</v>
      </c>
      <c r="K22" s="67"/>
      <c r="L22" s="67"/>
      <c r="M22" s="105" t="s">
        <v>258</v>
      </c>
      <c r="N22" s="106" t="s">
        <v>272</v>
      </c>
      <c r="O22" s="105">
        <v>4</v>
      </c>
      <c r="P22" s="30" t="s">
        <v>273</v>
      </c>
      <c r="Q22" s="124" t="s">
        <v>274</v>
      </c>
      <c r="R22" s="67" t="s">
        <v>275</v>
      </c>
      <c r="S22" s="105" t="s">
        <v>270</v>
      </c>
      <c r="T22" s="105" t="s">
        <v>276</v>
      </c>
      <c r="U22" s="105"/>
      <c r="V22" s="107">
        <v>0.89600000000000002</v>
      </c>
      <c r="W22" s="105"/>
      <c r="X22" s="105"/>
      <c r="Y22" s="108" t="s">
        <v>432</v>
      </c>
      <c r="Z22" s="67" t="s">
        <v>433</v>
      </c>
      <c r="AA22" s="105"/>
      <c r="AB22" s="103" t="s">
        <v>434</v>
      </c>
      <c r="AC22" s="95" t="s">
        <v>435</v>
      </c>
    </row>
    <row r="23" spans="1:29" ht="90" x14ac:dyDescent="0.25">
      <c r="A23" s="24" t="s">
        <v>83</v>
      </c>
      <c r="B23" s="105" t="s">
        <v>84</v>
      </c>
      <c r="C23" s="105">
        <v>2022</v>
      </c>
      <c r="D23" s="105" t="s">
        <v>187</v>
      </c>
      <c r="E23" s="105"/>
      <c r="F23" s="105"/>
      <c r="G23" s="105"/>
      <c r="H23" s="105"/>
      <c r="I23" s="105"/>
      <c r="J23" s="105" t="s">
        <v>86</v>
      </c>
      <c r="K23" s="105"/>
      <c r="L23" s="105"/>
      <c r="M23" s="67" t="s">
        <v>277</v>
      </c>
      <c r="N23" s="109" t="s">
        <v>278</v>
      </c>
      <c r="O23" s="105">
        <v>5</v>
      </c>
      <c r="P23" s="30" t="s">
        <v>279</v>
      </c>
      <c r="Q23" s="124" t="s">
        <v>280</v>
      </c>
      <c r="R23" s="67" t="s">
        <v>281</v>
      </c>
      <c r="S23" s="105" t="s">
        <v>270</v>
      </c>
      <c r="T23" s="105">
        <v>7000</v>
      </c>
      <c r="U23" s="105"/>
      <c r="V23" s="110">
        <v>0.98</v>
      </c>
      <c r="W23" s="105"/>
      <c r="X23" s="105"/>
      <c r="Y23" s="108" t="s">
        <v>436</v>
      </c>
      <c r="Z23" s="105" t="s">
        <v>437</v>
      </c>
      <c r="AA23" s="105"/>
    </row>
    <row r="24" spans="1:29" ht="210" x14ac:dyDescent="0.25">
      <c r="A24" s="24" t="s">
        <v>87</v>
      </c>
      <c r="B24" s="105" t="s">
        <v>88</v>
      </c>
      <c r="C24" s="105">
        <v>2022</v>
      </c>
      <c r="D24" s="105" t="s">
        <v>187</v>
      </c>
      <c r="E24" s="105"/>
      <c r="F24" s="105"/>
      <c r="G24" s="105"/>
      <c r="H24" s="67" t="s">
        <v>90</v>
      </c>
      <c r="I24" s="105">
        <v>9</v>
      </c>
      <c r="J24" s="105" t="s">
        <v>19</v>
      </c>
      <c r="K24" s="127" t="s">
        <v>188</v>
      </c>
      <c r="L24" s="105"/>
      <c r="M24" s="105" t="s">
        <v>282</v>
      </c>
      <c r="N24" s="105" t="s">
        <v>270</v>
      </c>
      <c r="O24" s="105">
        <v>15</v>
      </c>
      <c r="P24" s="67" t="s">
        <v>283</v>
      </c>
      <c r="Q24" s="124" t="s">
        <v>280</v>
      </c>
      <c r="R24" s="67" t="s">
        <v>284</v>
      </c>
      <c r="S24" s="67" t="s">
        <v>285</v>
      </c>
      <c r="T24" s="105" t="s">
        <v>286</v>
      </c>
      <c r="U24" s="105"/>
      <c r="V24" s="107">
        <v>0.98819999999999997</v>
      </c>
      <c r="W24" s="105"/>
      <c r="X24" s="105"/>
      <c r="Y24" s="111" t="s">
        <v>438</v>
      </c>
      <c r="Z24" s="105" t="s">
        <v>439</v>
      </c>
      <c r="AA24" s="105"/>
      <c r="AB24" s="103" t="s">
        <v>440</v>
      </c>
      <c r="AC24" s="94" t="s">
        <v>441</v>
      </c>
    </row>
    <row r="25" spans="1:29" ht="105" x14ac:dyDescent="0.25">
      <c r="A25" s="24" t="s">
        <v>161</v>
      </c>
      <c r="B25" s="105" t="s">
        <v>162</v>
      </c>
      <c r="C25" s="105">
        <v>2022</v>
      </c>
      <c r="D25" s="105" t="s">
        <v>206</v>
      </c>
      <c r="E25" s="105"/>
      <c r="F25" s="105"/>
      <c r="G25" s="105"/>
      <c r="H25" s="105"/>
      <c r="I25" s="105"/>
      <c r="J25" s="67" t="s">
        <v>163</v>
      </c>
      <c r="K25" s="67"/>
      <c r="L25" s="67"/>
      <c r="M25" s="105" t="s">
        <v>358</v>
      </c>
      <c r="N25" s="105" t="s">
        <v>359</v>
      </c>
      <c r="O25" s="105">
        <v>6</v>
      </c>
      <c r="P25" s="105" t="s">
        <v>360</v>
      </c>
      <c r="Q25" s="124" t="s">
        <v>274</v>
      </c>
      <c r="R25" s="105" t="s">
        <v>361</v>
      </c>
      <c r="S25" s="105" t="s">
        <v>362</v>
      </c>
      <c r="T25" s="105">
        <v>3600</v>
      </c>
      <c r="U25" s="105">
        <v>78.569999999999993</v>
      </c>
      <c r="V25" s="107">
        <v>0.84619999999999995</v>
      </c>
      <c r="W25" s="105">
        <v>84.62</v>
      </c>
      <c r="X25" s="105"/>
      <c r="Y25" s="111" t="s">
        <v>442</v>
      </c>
      <c r="Z25" s="67" t="s">
        <v>443</v>
      </c>
      <c r="AA25" s="105"/>
      <c r="AB25" s="103" t="s">
        <v>444</v>
      </c>
    </row>
    <row r="26" spans="1:29" ht="75" x14ac:dyDescent="0.25">
      <c r="A26" s="31" t="s">
        <v>91</v>
      </c>
      <c r="B26" s="112" t="s">
        <v>92</v>
      </c>
      <c r="C26" s="112">
        <v>2022</v>
      </c>
      <c r="D26" s="112" t="s">
        <v>187</v>
      </c>
      <c r="E26" s="112"/>
      <c r="F26" s="112"/>
      <c r="G26" s="112"/>
      <c r="H26" s="112"/>
      <c r="I26" s="112"/>
      <c r="J26" s="112" t="s">
        <v>95</v>
      </c>
      <c r="K26" s="112"/>
      <c r="L26" s="112"/>
      <c r="M26" s="112" t="s">
        <v>287</v>
      </c>
      <c r="N26" s="113" t="s">
        <v>288</v>
      </c>
      <c r="O26" s="112">
        <v>5</v>
      </c>
      <c r="P26" s="116" t="s">
        <v>289</v>
      </c>
      <c r="Q26" s="123" t="s">
        <v>274</v>
      </c>
      <c r="R26" s="112" t="s">
        <v>290</v>
      </c>
      <c r="S26" s="112" t="s">
        <v>291</v>
      </c>
      <c r="T26" s="112">
        <v>1120</v>
      </c>
      <c r="U26" s="112"/>
      <c r="V26" s="114">
        <v>0.99819999999999998</v>
      </c>
      <c r="W26" s="112"/>
      <c r="X26" s="112"/>
      <c r="Y26" s="115" t="s">
        <v>445</v>
      </c>
      <c r="Z26" s="116" t="s">
        <v>446</v>
      </c>
      <c r="AA26" s="112"/>
      <c r="AB26" s="103" t="s">
        <v>447</v>
      </c>
    </row>
    <row r="27" spans="1:29" ht="105" x14ac:dyDescent="0.25">
      <c r="A27" s="136" t="s">
        <v>448</v>
      </c>
      <c r="B27" s="123" t="s">
        <v>97</v>
      </c>
      <c r="C27" s="123">
        <v>2020</v>
      </c>
      <c r="D27" s="123" t="s">
        <v>187</v>
      </c>
      <c r="E27" s="123"/>
      <c r="F27" s="123"/>
      <c r="G27" s="123"/>
      <c r="H27" s="123"/>
      <c r="I27" s="123">
        <v>6</v>
      </c>
      <c r="J27" s="96" t="s">
        <v>101</v>
      </c>
      <c r="K27" s="137" t="s">
        <v>188</v>
      </c>
      <c r="L27" s="128" t="s">
        <v>297</v>
      </c>
      <c r="M27" s="123" t="s">
        <v>292</v>
      </c>
      <c r="N27" s="123" t="s">
        <v>270</v>
      </c>
      <c r="O27" s="123">
        <v>7</v>
      </c>
      <c r="P27" s="138" t="s">
        <v>293</v>
      </c>
      <c r="Q27" s="96" t="s">
        <v>449</v>
      </c>
      <c r="R27" s="96" t="s">
        <v>295</v>
      </c>
      <c r="S27" s="123"/>
      <c r="T27" s="123">
        <v>9791</v>
      </c>
      <c r="U27" s="123"/>
      <c r="V27" s="96" t="s">
        <v>296</v>
      </c>
      <c r="W27" s="124"/>
      <c r="X27" s="124"/>
      <c r="Y27" s="126" t="s">
        <v>450</v>
      </c>
      <c r="Z27" s="45" t="s">
        <v>451</v>
      </c>
      <c r="AA27" s="124"/>
    </row>
    <row r="28" spans="1:29" ht="45" x14ac:dyDescent="0.25">
      <c r="A28" s="125" t="s">
        <v>102</v>
      </c>
      <c r="B28" s="124" t="s">
        <v>103</v>
      </c>
      <c r="C28" s="124">
        <v>2010</v>
      </c>
      <c r="D28" s="124" t="s">
        <v>206</v>
      </c>
      <c r="E28" s="45" t="s">
        <v>104</v>
      </c>
      <c r="F28" s="124"/>
      <c r="G28" s="124"/>
      <c r="H28" s="124" t="s">
        <v>18</v>
      </c>
      <c r="I28" s="124">
        <v>6</v>
      </c>
      <c r="J28" s="124"/>
      <c r="K28" s="131" t="s">
        <v>188</v>
      </c>
      <c r="L28" s="131" t="s">
        <v>297</v>
      </c>
      <c r="M28" s="45" t="s">
        <v>298</v>
      </c>
      <c r="N28" s="124" t="s">
        <v>270</v>
      </c>
      <c r="O28" s="124"/>
      <c r="P28" s="124"/>
      <c r="Q28" s="146" t="s">
        <v>299</v>
      </c>
      <c r="R28" s="124"/>
      <c r="S28" s="124"/>
      <c r="T28" s="124"/>
      <c r="U28" s="124"/>
      <c r="V28" s="124"/>
    </row>
    <row r="29" spans="1:29" ht="43.5" x14ac:dyDescent="0.25">
      <c r="A29" s="132" t="s">
        <v>105</v>
      </c>
      <c r="B29" s="124" t="s">
        <v>106</v>
      </c>
      <c r="C29" s="124">
        <v>2018</v>
      </c>
      <c r="D29" s="124" t="s">
        <v>187</v>
      </c>
      <c r="E29" s="45" t="s">
        <v>54</v>
      </c>
      <c r="F29" s="133" t="s">
        <v>108</v>
      </c>
      <c r="G29" s="133"/>
      <c r="H29" s="124"/>
      <c r="I29" s="124">
        <v>9</v>
      </c>
      <c r="J29" s="124"/>
      <c r="K29" s="124"/>
      <c r="L29" s="131" t="s">
        <v>257</v>
      </c>
      <c r="M29" s="124"/>
      <c r="N29" s="124"/>
      <c r="O29" s="124">
        <v>11</v>
      </c>
      <c r="P29" s="124"/>
      <c r="Q29" s="134" t="s">
        <v>300</v>
      </c>
      <c r="R29" s="124"/>
      <c r="S29" s="124" t="s">
        <v>301</v>
      </c>
      <c r="T29" s="124"/>
      <c r="U29" s="124"/>
      <c r="V29" s="135">
        <v>0.98099999999999998</v>
      </c>
    </row>
    <row r="30" spans="1:29" ht="60" x14ac:dyDescent="0.25">
      <c r="A30" s="142" t="s">
        <v>109</v>
      </c>
      <c r="B30" s="143" t="s">
        <v>110</v>
      </c>
      <c r="C30" s="143">
        <v>2018</v>
      </c>
      <c r="D30" s="143" t="s">
        <v>187</v>
      </c>
      <c r="E30" s="143" t="s">
        <v>111</v>
      </c>
      <c r="F30" s="142" t="s">
        <v>112</v>
      </c>
      <c r="G30" s="143" t="s">
        <v>113</v>
      </c>
      <c r="H30" s="143" t="s">
        <v>114</v>
      </c>
      <c r="I30" s="143">
        <v>1</v>
      </c>
      <c r="J30" s="143" t="s">
        <v>115</v>
      </c>
      <c r="K30" s="131" t="s">
        <v>188</v>
      </c>
      <c r="L30" s="143" t="s">
        <v>302</v>
      </c>
      <c r="M30" s="143" t="s">
        <v>114</v>
      </c>
      <c r="N30" s="143"/>
      <c r="O30" s="143">
        <v>3</v>
      </c>
      <c r="P30" s="144" t="s">
        <v>303</v>
      </c>
      <c r="Q30" s="143" t="s">
        <v>304</v>
      </c>
      <c r="R30" s="143" t="s">
        <v>305</v>
      </c>
      <c r="S30" s="143"/>
      <c r="T30" s="143"/>
      <c r="U30" s="143"/>
      <c r="V30" s="143">
        <v>98.75</v>
      </c>
      <c r="W30" s="143"/>
      <c r="X30" s="143"/>
      <c r="Y30" s="145"/>
      <c r="Z30" s="143"/>
      <c r="AA30" s="143"/>
      <c r="AB30" s="145"/>
    </row>
    <row r="33" spans="1:29" x14ac:dyDescent="0.25">
      <c r="A33" t="s">
        <v>121</v>
      </c>
    </row>
    <row r="35" spans="1:29" ht="90" x14ac:dyDescent="0.25">
      <c r="A35" s="1" t="s">
        <v>122</v>
      </c>
      <c r="B35" s="83" t="s">
        <v>123</v>
      </c>
      <c r="C35" s="22">
        <v>2021</v>
      </c>
      <c r="D35" s="22" t="s">
        <v>187</v>
      </c>
      <c r="E35" s="149" t="s">
        <v>124</v>
      </c>
      <c r="F35" s="22"/>
      <c r="G35" s="22"/>
      <c r="H35" s="22" t="s">
        <v>125</v>
      </c>
      <c r="I35" s="22"/>
      <c r="J35" s="22" t="s">
        <v>126</v>
      </c>
      <c r="K35" s="130" t="s">
        <v>12</v>
      </c>
      <c r="L35" s="130" t="s">
        <v>12</v>
      </c>
      <c r="M35" s="22" t="s">
        <v>318</v>
      </c>
      <c r="N35" s="22" t="s">
        <v>319</v>
      </c>
      <c r="O35" s="22">
        <v>5</v>
      </c>
      <c r="P35" s="1" t="s">
        <v>320</v>
      </c>
      <c r="Q35" s="22" t="s">
        <v>125</v>
      </c>
      <c r="R35" s="22" t="s">
        <v>321</v>
      </c>
      <c r="S35" s="22" t="s">
        <v>322</v>
      </c>
      <c r="T35" s="129">
        <v>163501</v>
      </c>
      <c r="U35" s="22"/>
      <c r="V35" s="72">
        <v>0.999</v>
      </c>
      <c r="W35" s="22"/>
      <c r="X35" s="22"/>
      <c r="Y35" s="93" t="s">
        <v>452</v>
      </c>
      <c r="Z35" s="22" t="s">
        <v>453</v>
      </c>
      <c r="AA35" s="22"/>
      <c r="AB35" s="103" t="s">
        <v>454</v>
      </c>
      <c r="AC35" s="117" t="s">
        <v>455</v>
      </c>
    </row>
    <row r="36" spans="1:29" x14ac:dyDescent="0.25">
      <c r="E36" s="150"/>
    </row>
    <row r="37" spans="1:29" ht="75" x14ac:dyDescent="0.25">
      <c r="A37" s="1" t="s">
        <v>127</v>
      </c>
      <c r="B37" s="1" t="s">
        <v>128</v>
      </c>
      <c r="C37" s="1">
        <v>2023</v>
      </c>
      <c r="D37" s="1" t="s">
        <v>323</v>
      </c>
      <c r="E37" s="151" t="s">
        <v>129</v>
      </c>
      <c r="F37" s="20"/>
      <c r="G37" s="20"/>
      <c r="H37" s="20" t="s">
        <v>130</v>
      </c>
      <c r="I37" s="20"/>
      <c r="J37" s="11" t="s">
        <v>131</v>
      </c>
      <c r="K37" s="130" t="s">
        <v>12</v>
      </c>
      <c r="L37" s="130" t="s">
        <v>12</v>
      </c>
      <c r="M37" s="11"/>
      <c r="N37" s="11" t="s">
        <v>324</v>
      </c>
      <c r="O37" s="11">
        <v>4</v>
      </c>
      <c r="P37" s="11" t="s">
        <v>200</v>
      </c>
      <c r="Q37" s="22" t="s">
        <v>325</v>
      </c>
      <c r="R37" s="11" t="s">
        <v>326</v>
      </c>
      <c r="S37" s="11" t="s">
        <v>200</v>
      </c>
      <c r="T37" s="11"/>
      <c r="U37" s="11">
        <v>98.6</v>
      </c>
      <c r="V37" s="71">
        <v>0.98699999999999999</v>
      </c>
      <c r="W37" s="71">
        <v>0.98599999999999999</v>
      </c>
      <c r="X37" s="71">
        <v>0.97699999999999998</v>
      </c>
      <c r="Y37" s="90"/>
      <c r="Z37" s="11"/>
      <c r="AA37" s="11"/>
    </row>
    <row r="38" spans="1:29" ht="191.25" x14ac:dyDescent="0.25">
      <c r="A38" s="1" t="s">
        <v>132</v>
      </c>
      <c r="B38" s="83" t="s">
        <v>133</v>
      </c>
      <c r="C38" s="22">
        <v>2022</v>
      </c>
      <c r="D38" s="22" t="s">
        <v>187</v>
      </c>
      <c r="E38" s="149" t="s">
        <v>124</v>
      </c>
      <c r="F38" s="22"/>
      <c r="G38" s="22" t="s">
        <v>134</v>
      </c>
      <c r="H38" s="22" t="s">
        <v>114</v>
      </c>
      <c r="I38" s="22">
        <v>2</v>
      </c>
      <c r="J38" s="22" t="s">
        <v>135</v>
      </c>
      <c r="K38" s="130" t="s">
        <v>12</v>
      </c>
      <c r="L38" s="130" t="s">
        <v>12</v>
      </c>
      <c r="M38" s="22"/>
      <c r="N38" s="22" t="s">
        <v>327</v>
      </c>
      <c r="O38" s="22">
        <v>4</v>
      </c>
      <c r="P38" s="22" t="s">
        <v>328</v>
      </c>
      <c r="Q38" s="22" t="s">
        <v>329</v>
      </c>
      <c r="R38" s="22" t="s">
        <v>330</v>
      </c>
      <c r="S38" s="22" t="s">
        <v>186</v>
      </c>
      <c r="T38" s="22">
        <v>5940</v>
      </c>
      <c r="U38" s="22"/>
      <c r="V38" s="22" t="s">
        <v>331</v>
      </c>
      <c r="W38" s="22" t="s">
        <v>332</v>
      </c>
      <c r="X38" s="22"/>
      <c r="Y38" s="90" t="s">
        <v>456</v>
      </c>
      <c r="Z38" s="11" t="s">
        <v>457</v>
      </c>
      <c r="AA38" s="11"/>
      <c r="AB38" s="103" t="s">
        <v>458</v>
      </c>
      <c r="AC38" s="103" t="s">
        <v>459</v>
      </c>
    </row>
    <row r="39" spans="1:29" x14ac:dyDescent="0.25">
      <c r="A39" t="s">
        <v>136</v>
      </c>
    </row>
    <row r="40" spans="1:29" ht="45" x14ac:dyDescent="0.25">
      <c r="A40" s="139" t="s">
        <v>137</v>
      </c>
      <c r="B40" s="140" t="s">
        <v>138</v>
      </c>
      <c r="C40" s="141">
        <v>2023</v>
      </c>
      <c r="D40" s="141" t="s">
        <v>187</v>
      </c>
      <c r="E40" s="141"/>
      <c r="F40" s="20"/>
      <c r="G40" s="20"/>
      <c r="H40" s="20"/>
      <c r="I40" s="20" t="s">
        <v>140</v>
      </c>
      <c r="J40" s="20" t="s">
        <v>141</v>
      </c>
      <c r="K40" s="130" t="s">
        <v>12</v>
      </c>
      <c r="L40" s="130" t="s">
        <v>12</v>
      </c>
      <c r="M40" s="20"/>
      <c r="N40" s="88" t="s">
        <v>333</v>
      </c>
      <c r="O40" s="20">
        <v>6</v>
      </c>
      <c r="P40" s="20" t="s">
        <v>334</v>
      </c>
      <c r="Q40" s="21" t="s">
        <v>335</v>
      </c>
      <c r="R40" s="20" t="s">
        <v>336</v>
      </c>
      <c r="S40" s="20" t="s">
        <v>337</v>
      </c>
      <c r="T40" s="20">
        <v>8970</v>
      </c>
      <c r="U40" s="20"/>
      <c r="V40" s="20"/>
      <c r="W40" s="20"/>
      <c r="X40" s="20" t="s">
        <v>338</v>
      </c>
      <c r="Y40" s="89"/>
      <c r="Z40" s="20" t="s">
        <v>460</v>
      </c>
      <c r="AA40" s="11" t="s">
        <v>461</v>
      </c>
    </row>
    <row r="41" spans="1:29" ht="75" x14ac:dyDescent="0.25">
      <c r="A41" s="139" t="s">
        <v>142</v>
      </c>
      <c r="B41" s="139" t="s">
        <v>143</v>
      </c>
      <c r="C41" s="139">
        <v>2023</v>
      </c>
      <c r="D41" s="139" t="s">
        <v>187</v>
      </c>
      <c r="E41" s="139"/>
      <c r="F41" s="21"/>
      <c r="G41" s="21"/>
      <c r="H41" s="21"/>
      <c r="I41" s="21"/>
      <c r="J41" s="22" t="s">
        <v>145</v>
      </c>
      <c r="K41" s="22"/>
      <c r="L41" s="22"/>
      <c r="M41" s="22"/>
      <c r="N41" s="22" t="s">
        <v>339</v>
      </c>
      <c r="O41" s="22">
        <v>4</v>
      </c>
      <c r="P41" s="22"/>
      <c r="Q41" s="22" t="s">
        <v>200</v>
      </c>
      <c r="R41" s="22" t="s">
        <v>340</v>
      </c>
      <c r="S41" s="11" t="s">
        <v>341</v>
      </c>
      <c r="T41" s="11" t="s">
        <v>342</v>
      </c>
      <c r="U41" s="22"/>
      <c r="V41" s="72" t="s">
        <v>343</v>
      </c>
      <c r="W41" s="72"/>
      <c r="X41" s="72">
        <v>0.99409999999999998</v>
      </c>
      <c r="Y41" s="102" t="s">
        <v>462</v>
      </c>
      <c r="Z41" s="22" t="s">
        <v>463</v>
      </c>
      <c r="AA41" s="7"/>
    </row>
    <row r="42" spans="1:29" ht="247.5" x14ac:dyDescent="0.25">
      <c r="A42" s="6" t="s">
        <v>146</v>
      </c>
      <c r="B42" s="83" t="s">
        <v>138</v>
      </c>
      <c r="C42" s="22">
        <v>2022</v>
      </c>
      <c r="D42" s="21" t="s">
        <v>187</v>
      </c>
      <c r="E42" s="21" t="s">
        <v>147</v>
      </c>
      <c r="F42" s="21"/>
      <c r="G42" s="21" t="s">
        <v>148</v>
      </c>
      <c r="H42" s="21"/>
      <c r="I42" s="21" t="s">
        <v>149</v>
      </c>
      <c r="J42" s="11" t="s">
        <v>150</v>
      </c>
      <c r="K42" s="22"/>
      <c r="L42" s="22"/>
      <c r="M42" s="11"/>
      <c r="N42" s="92" t="s">
        <v>344</v>
      </c>
      <c r="O42" s="11">
        <v>10</v>
      </c>
      <c r="P42" s="11" t="s">
        <v>345</v>
      </c>
      <c r="Q42" s="22" t="s">
        <v>346</v>
      </c>
      <c r="R42" s="11" t="s">
        <v>347</v>
      </c>
      <c r="S42" s="11" t="s">
        <v>186</v>
      </c>
      <c r="T42" s="69" t="s">
        <v>348</v>
      </c>
      <c r="U42" s="22"/>
      <c r="V42" s="72">
        <v>0.90600000000000003</v>
      </c>
      <c r="W42" s="72"/>
      <c r="X42" s="72"/>
      <c r="Y42" s="93" t="s">
        <v>464</v>
      </c>
      <c r="Z42" s="22" t="s">
        <v>465</v>
      </c>
      <c r="AA42" s="7"/>
      <c r="AB42" s="103" t="s">
        <v>466</v>
      </c>
      <c r="AC42" s="103" t="s">
        <v>467</v>
      </c>
    </row>
  </sheetData>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8"/>
  <sheetViews>
    <sheetView zoomScale="85" zoomScaleNormal="85" workbookViewId="0">
      <pane ySplit="1" topLeftCell="A20" activePane="bottomLeft" state="frozen"/>
      <selection pane="bottomLeft" activeCell="N4" sqref="N4"/>
    </sheetView>
  </sheetViews>
  <sheetFormatPr defaultColWidth="13.28515625" defaultRowHeight="15" x14ac:dyDescent="0.25"/>
  <cols>
    <col min="1" max="1" width="33.42578125" customWidth="1"/>
    <col min="2" max="2" width="13.42578125" bestFit="1" customWidth="1"/>
    <col min="3" max="3" width="9.140625" style="23"/>
    <col min="4" max="4" width="9.140625"/>
    <col min="5" max="6" width="22.85546875" customWidth="1"/>
    <col min="7" max="7" width="16.5703125" customWidth="1"/>
    <col min="8" max="8" width="10" style="23" customWidth="1"/>
    <col min="9" max="9" width="22.140625" customWidth="1"/>
    <col min="10" max="10" width="23.28515625" bestFit="1" customWidth="1"/>
    <col min="11" max="12" width="20.140625" customWidth="1"/>
    <col min="13" max="13" width="9.140625"/>
    <col min="14" max="14" width="21.85546875" bestFit="1" customWidth="1"/>
    <col min="15" max="16" width="21.85546875" customWidth="1"/>
    <col min="17" max="17" width="45.140625" customWidth="1"/>
    <col min="18" max="18" width="35.28515625" customWidth="1"/>
    <col min="19" max="19" width="26" customWidth="1"/>
  </cols>
  <sheetData>
    <row r="1" spans="1:19" ht="45" x14ac:dyDescent="0.25">
      <c r="A1" s="35" t="s">
        <v>386</v>
      </c>
      <c r="B1" s="38" t="s">
        <v>34</v>
      </c>
      <c r="C1" s="41">
        <v>2022</v>
      </c>
      <c r="D1" s="38"/>
      <c r="E1" s="38" t="s">
        <v>35</v>
      </c>
      <c r="F1" s="38"/>
      <c r="G1" s="38" t="s">
        <v>207</v>
      </c>
      <c r="H1" s="41">
        <v>2</v>
      </c>
      <c r="I1" s="38"/>
      <c r="J1" s="38" t="s">
        <v>468</v>
      </c>
      <c r="K1" s="38"/>
      <c r="L1" s="38"/>
      <c r="M1" s="38"/>
      <c r="N1" s="38"/>
      <c r="O1" s="38"/>
      <c r="P1" s="38"/>
      <c r="Q1" s="38"/>
      <c r="R1" s="38"/>
      <c r="S1" s="64"/>
    </row>
    <row r="2" spans="1:19" ht="90" x14ac:dyDescent="0.25">
      <c r="A2" s="8" t="s">
        <v>127</v>
      </c>
      <c r="B2" s="9" t="s">
        <v>128</v>
      </c>
      <c r="C2" s="20">
        <v>2023</v>
      </c>
      <c r="D2" s="10" t="s">
        <v>323</v>
      </c>
      <c r="E2" s="10" t="s">
        <v>131</v>
      </c>
      <c r="F2" s="10"/>
      <c r="G2" s="10" t="s">
        <v>324</v>
      </c>
      <c r="H2" s="20">
        <v>4</v>
      </c>
      <c r="I2" s="10"/>
      <c r="J2" s="10" t="s">
        <v>326</v>
      </c>
      <c r="K2" s="10"/>
      <c r="L2" s="10"/>
      <c r="M2" s="10">
        <v>98.6</v>
      </c>
      <c r="N2" s="60">
        <v>0.98699999999999999</v>
      </c>
      <c r="O2" s="60">
        <v>0.98599999999999999</v>
      </c>
      <c r="P2" s="60">
        <v>0.97699999999999998</v>
      </c>
      <c r="Q2" s="10"/>
      <c r="R2" s="10"/>
      <c r="S2" s="11"/>
    </row>
    <row r="3" spans="1:19" ht="75" x14ac:dyDescent="0.25">
      <c r="A3" s="6" t="s">
        <v>142</v>
      </c>
      <c r="B3" s="3" t="s">
        <v>143</v>
      </c>
      <c r="C3" s="21">
        <v>2023</v>
      </c>
      <c r="D3" s="2" t="s">
        <v>187</v>
      </c>
      <c r="E3" s="1" t="s">
        <v>412</v>
      </c>
      <c r="F3" s="1"/>
      <c r="G3" s="1" t="s">
        <v>339</v>
      </c>
      <c r="H3" s="22">
        <v>4</v>
      </c>
      <c r="I3" s="1"/>
      <c r="J3" s="1" t="s">
        <v>340</v>
      </c>
      <c r="K3" s="8" t="s">
        <v>341</v>
      </c>
      <c r="L3" s="8" t="s">
        <v>342</v>
      </c>
      <c r="M3" s="1"/>
      <c r="N3" s="4" t="s">
        <v>343</v>
      </c>
      <c r="O3" s="4"/>
      <c r="P3" s="4">
        <v>0.99409999999999998</v>
      </c>
      <c r="Q3" s="63" t="s">
        <v>462</v>
      </c>
      <c r="R3" s="1" t="s">
        <v>463</v>
      </c>
      <c r="S3" s="7"/>
    </row>
    <row r="4" spans="1:19" ht="45" x14ac:dyDescent="0.25">
      <c r="A4" s="8" t="s">
        <v>132</v>
      </c>
      <c r="B4" s="12" t="s">
        <v>133</v>
      </c>
      <c r="C4" s="20">
        <v>2022</v>
      </c>
      <c r="D4" s="10" t="s">
        <v>187</v>
      </c>
      <c r="E4" s="8" t="s">
        <v>135</v>
      </c>
      <c r="F4" s="8"/>
      <c r="G4" s="8" t="s">
        <v>327</v>
      </c>
      <c r="H4" s="11">
        <v>4</v>
      </c>
      <c r="I4" s="8"/>
      <c r="J4" s="8" t="s">
        <v>330</v>
      </c>
      <c r="K4" s="8" t="s">
        <v>186</v>
      </c>
      <c r="L4" s="8">
        <v>5940</v>
      </c>
      <c r="M4" s="8"/>
      <c r="N4" s="8" t="s">
        <v>331</v>
      </c>
      <c r="O4" s="8" t="s">
        <v>332</v>
      </c>
      <c r="P4" s="8"/>
      <c r="Q4" s="26" t="s">
        <v>456</v>
      </c>
      <c r="R4" s="8" t="s">
        <v>457</v>
      </c>
      <c r="S4" s="11"/>
    </row>
    <row r="5" spans="1:19" ht="90" x14ac:dyDescent="0.25">
      <c r="A5" s="14" t="s">
        <v>48</v>
      </c>
      <c r="B5" s="15" t="s">
        <v>49</v>
      </c>
      <c r="C5" s="44">
        <v>2021</v>
      </c>
      <c r="D5" s="47" t="s">
        <v>187</v>
      </c>
      <c r="E5" s="14" t="s">
        <v>54</v>
      </c>
      <c r="F5" s="14"/>
      <c r="G5" s="14" t="s">
        <v>469</v>
      </c>
      <c r="H5" s="16">
        <v>4</v>
      </c>
      <c r="I5" s="14"/>
      <c r="J5" s="14" t="s">
        <v>233</v>
      </c>
      <c r="K5" s="14" t="s">
        <v>234</v>
      </c>
      <c r="L5" s="57">
        <v>4096</v>
      </c>
      <c r="M5" s="14"/>
      <c r="N5" s="14" t="s">
        <v>235</v>
      </c>
      <c r="O5" s="14"/>
      <c r="P5" s="14"/>
      <c r="Q5" s="57"/>
      <c r="R5" s="14" t="s">
        <v>403</v>
      </c>
      <c r="S5" s="16"/>
    </row>
    <row r="6" spans="1:19" ht="60" x14ac:dyDescent="0.25">
      <c r="A6" s="36" t="s">
        <v>431</v>
      </c>
      <c r="B6" s="39" t="s">
        <v>21</v>
      </c>
      <c r="C6" s="42">
        <v>2021</v>
      </c>
      <c r="D6" s="48" t="s">
        <v>187</v>
      </c>
      <c r="E6" s="46" t="s">
        <v>82</v>
      </c>
      <c r="F6" s="46"/>
      <c r="G6" s="36" t="s">
        <v>470</v>
      </c>
      <c r="H6" s="42">
        <v>4</v>
      </c>
      <c r="I6" s="46"/>
      <c r="J6" s="46" t="s">
        <v>471</v>
      </c>
      <c r="K6" s="46" t="s">
        <v>270</v>
      </c>
      <c r="L6" s="49" t="s">
        <v>276</v>
      </c>
      <c r="M6" s="46"/>
      <c r="N6" s="58">
        <v>0.89600000000000002</v>
      </c>
      <c r="O6" s="46"/>
      <c r="P6" s="46"/>
      <c r="Q6" s="46" t="s">
        <v>432</v>
      </c>
      <c r="R6" s="36" t="s">
        <v>433</v>
      </c>
      <c r="S6" s="46"/>
    </row>
    <row r="7" spans="1:19" ht="60" x14ac:dyDescent="0.25">
      <c r="A7" s="8" t="s">
        <v>472</v>
      </c>
      <c r="B7" s="12" t="s">
        <v>28</v>
      </c>
      <c r="C7" s="11">
        <v>2022</v>
      </c>
      <c r="D7" s="8" t="s">
        <v>187</v>
      </c>
      <c r="E7" s="8" t="s">
        <v>32</v>
      </c>
      <c r="F7" s="8"/>
      <c r="G7" s="8" t="s">
        <v>202</v>
      </c>
      <c r="H7" s="11">
        <v>5</v>
      </c>
      <c r="I7" s="8"/>
      <c r="J7" s="8" t="s">
        <v>205</v>
      </c>
      <c r="K7" s="8"/>
      <c r="L7" s="8"/>
      <c r="M7" s="8"/>
      <c r="N7" s="8"/>
      <c r="O7" s="8"/>
      <c r="P7" s="8"/>
      <c r="Q7" s="8"/>
      <c r="R7" s="8"/>
      <c r="S7" s="11"/>
    </row>
    <row r="8" spans="1:19" ht="60" x14ac:dyDescent="0.25">
      <c r="A8" s="8" t="s">
        <v>44</v>
      </c>
      <c r="B8" s="12" t="s">
        <v>45</v>
      </c>
      <c r="C8" s="11">
        <v>2022</v>
      </c>
      <c r="D8" s="8" t="s">
        <v>187</v>
      </c>
      <c r="E8" s="8" t="s">
        <v>47</v>
      </c>
      <c r="F8" s="8"/>
      <c r="G8" s="8" t="s">
        <v>224</v>
      </c>
      <c r="H8" s="11">
        <v>5</v>
      </c>
      <c r="I8" s="8"/>
      <c r="J8" s="53" t="s">
        <v>227</v>
      </c>
      <c r="K8" s="8"/>
      <c r="L8" s="8"/>
      <c r="M8" s="8"/>
      <c r="N8" s="8">
        <v>95.41</v>
      </c>
      <c r="O8" s="8"/>
      <c r="P8" s="8"/>
      <c r="Q8" s="8"/>
      <c r="R8" s="8"/>
      <c r="S8" s="11"/>
    </row>
    <row r="9" spans="1:19" ht="60" x14ac:dyDescent="0.25">
      <c r="A9" s="14" t="s">
        <v>157</v>
      </c>
      <c r="B9" s="15" t="s">
        <v>158</v>
      </c>
      <c r="C9" s="16">
        <v>2021</v>
      </c>
      <c r="D9" s="14" t="s">
        <v>187</v>
      </c>
      <c r="E9" s="14" t="s">
        <v>156</v>
      </c>
      <c r="F9" s="14"/>
      <c r="G9" s="14" t="s">
        <v>354</v>
      </c>
      <c r="H9" s="16">
        <v>5</v>
      </c>
      <c r="I9" s="14"/>
      <c r="J9" s="14" t="s">
        <v>473</v>
      </c>
      <c r="K9" s="14" t="s">
        <v>156</v>
      </c>
      <c r="L9" s="14" t="s">
        <v>243</v>
      </c>
      <c r="M9" s="14"/>
      <c r="N9" s="14">
        <v>97.02</v>
      </c>
      <c r="O9" s="14"/>
      <c r="P9" s="14"/>
      <c r="Q9" s="14"/>
      <c r="R9" s="14" t="s">
        <v>418</v>
      </c>
      <c r="S9" s="16"/>
    </row>
    <row r="10" spans="1:19" ht="75" x14ac:dyDescent="0.25">
      <c r="A10" s="14" t="s">
        <v>122</v>
      </c>
      <c r="B10" s="15" t="s">
        <v>123</v>
      </c>
      <c r="C10" s="16">
        <v>2021</v>
      </c>
      <c r="D10" s="14" t="s">
        <v>187</v>
      </c>
      <c r="E10" s="14" t="s">
        <v>126</v>
      </c>
      <c r="F10" s="14"/>
      <c r="G10" s="14" t="s">
        <v>319</v>
      </c>
      <c r="H10" s="16">
        <v>5</v>
      </c>
      <c r="I10" s="14"/>
      <c r="J10" s="14" t="s">
        <v>474</v>
      </c>
      <c r="K10" s="14" t="s">
        <v>322</v>
      </c>
      <c r="L10" s="14"/>
      <c r="M10" s="14"/>
      <c r="N10" s="17">
        <v>0.999</v>
      </c>
      <c r="O10" s="14"/>
      <c r="P10" s="14"/>
      <c r="Q10" s="14" t="s">
        <v>452</v>
      </c>
      <c r="R10" s="14" t="s">
        <v>453</v>
      </c>
      <c r="S10" s="16"/>
    </row>
    <row r="11" spans="1:19" ht="90" x14ac:dyDescent="0.25">
      <c r="A11" s="36" t="s">
        <v>475</v>
      </c>
      <c r="B11" s="39" t="s">
        <v>84</v>
      </c>
      <c r="C11" s="42">
        <v>2022</v>
      </c>
      <c r="D11" s="46" t="s">
        <v>187</v>
      </c>
      <c r="E11" s="46" t="s">
        <v>476</v>
      </c>
      <c r="F11" s="49"/>
      <c r="G11" s="49" t="s">
        <v>477</v>
      </c>
      <c r="H11" s="42">
        <v>5</v>
      </c>
      <c r="I11" s="49"/>
      <c r="J11" s="54" t="s">
        <v>281</v>
      </c>
      <c r="K11" s="56" t="s">
        <v>270</v>
      </c>
      <c r="L11" s="46" t="s">
        <v>478</v>
      </c>
      <c r="M11" s="46"/>
      <c r="N11" s="61">
        <v>0.98</v>
      </c>
      <c r="O11" s="46"/>
      <c r="P11" s="46"/>
      <c r="Q11" s="46" t="s">
        <v>436</v>
      </c>
      <c r="R11" s="46" t="s">
        <v>437</v>
      </c>
      <c r="S11" s="46"/>
    </row>
    <row r="12" spans="1:19" ht="60" x14ac:dyDescent="0.25">
      <c r="A12" s="36" t="s">
        <v>91</v>
      </c>
      <c r="B12" s="39" t="s">
        <v>92</v>
      </c>
      <c r="C12" s="42">
        <v>2022</v>
      </c>
      <c r="D12" s="46" t="s">
        <v>187</v>
      </c>
      <c r="E12" s="46" t="s">
        <v>95</v>
      </c>
      <c r="F12" s="46"/>
      <c r="G12" s="46" t="s">
        <v>270</v>
      </c>
      <c r="H12" s="51">
        <v>5</v>
      </c>
      <c r="I12" s="49"/>
      <c r="J12" s="25" t="s">
        <v>290</v>
      </c>
      <c r="K12" s="25" t="s">
        <v>291</v>
      </c>
      <c r="L12" s="39">
        <v>1120</v>
      </c>
      <c r="M12" s="46"/>
      <c r="N12" s="58">
        <v>0.99819999999999998</v>
      </c>
      <c r="O12" s="46"/>
      <c r="P12" s="46"/>
      <c r="Q12" s="36" t="s">
        <v>445</v>
      </c>
      <c r="R12" s="36" t="s">
        <v>446</v>
      </c>
      <c r="S12" s="46"/>
    </row>
    <row r="13" spans="1:19" ht="60" x14ac:dyDescent="0.25">
      <c r="A13" s="8" t="s">
        <v>137</v>
      </c>
      <c r="B13" s="12" t="s">
        <v>138</v>
      </c>
      <c r="C13" s="11">
        <v>2023</v>
      </c>
      <c r="D13" s="8" t="s">
        <v>187</v>
      </c>
      <c r="E13" s="8" t="s">
        <v>479</v>
      </c>
      <c r="F13" s="8"/>
      <c r="G13" s="8" t="s">
        <v>333</v>
      </c>
      <c r="H13" s="29">
        <v>6</v>
      </c>
      <c r="I13" s="26"/>
      <c r="J13" s="27" t="s">
        <v>336</v>
      </c>
      <c r="K13" s="27" t="s">
        <v>337</v>
      </c>
      <c r="L13" s="12">
        <v>8970</v>
      </c>
      <c r="M13" s="8"/>
      <c r="N13" s="8"/>
      <c r="O13" s="8"/>
      <c r="P13" s="8" t="s">
        <v>338</v>
      </c>
      <c r="Q13" s="8"/>
      <c r="R13" s="8" t="s">
        <v>460</v>
      </c>
      <c r="S13" s="11" t="s">
        <v>461</v>
      </c>
    </row>
    <row r="14" spans="1:19" ht="105" x14ac:dyDescent="0.25">
      <c r="A14" s="6" t="s">
        <v>9</v>
      </c>
      <c r="B14" s="3" t="s">
        <v>10</v>
      </c>
      <c r="C14" s="22">
        <v>2023</v>
      </c>
      <c r="D14" s="1" t="s">
        <v>179</v>
      </c>
      <c r="E14" s="1" t="s">
        <v>13</v>
      </c>
      <c r="F14" s="1" t="s">
        <v>184</v>
      </c>
      <c r="G14" s="1" t="s">
        <v>182</v>
      </c>
      <c r="H14" s="22">
        <v>6</v>
      </c>
      <c r="I14" s="52" t="s">
        <v>183</v>
      </c>
      <c r="J14" s="52" t="s">
        <v>185</v>
      </c>
      <c r="K14" s="10" t="s">
        <v>186</v>
      </c>
      <c r="L14" s="8"/>
      <c r="M14" s="1"/>
      <c r="N14" s="4"/>
      <c r="O14" s="4"/>
      <c r="P14" s="4"/>
      <c r="Q14" s="63"/>
      <c r="R14" s="1" t="s">
        <v>380</v>
      </c>
      <c r="S14" s="7"/>
    </row>
    <row r="15" spans="1:19" ht="75" x14ac:dyDescent="0.25">
      <c r="A15" s="8" t="s">
        <v>36</v>
      </c>
      <c r="B15" s="12" t="s">
        <v>37</v>
      </c>
      <c r="C15" s="11">
        <v>2022</v>
      </c>
      <c r="D15" s="8" t="s">
        <v>179</v>
      </c>
      <c r="E15" s="8" t="s">
        <v>480</v>
      </c>
      <c r="F15" s="8"/>
      <c r="G15" s="8"/>
      <c r="H15" s="11">
        <v>6</v>
      </c>
      <c r="I15" s="8"/>
      <c r="J15" s="8" t="s">
        <v>214</v>
      </c>
      <c r="K15" s="55"/>
      <c r="L15" s="8"/>
      <c r="M15" s="8"/>
      <c r="N15" s="8" t="s">
        <v>215</v>
      </c>
      <c r="O15" s="8"/>
      <c r="P15" s="8"/>
      <c r="Q15" s="8"/>
      <c r="R15" s="8" t="s">
        <v>394</v>
      </c>
      <c r="S15" s="11"/>
    </row>
    <row r="16" spans="1:19" ht="75" x14ac:dyDescent="0.25">
      <c r="A16" s="14" t="s">
        <v>55</v>
      </c>
      <c r="B16" s="15" t="s">
        <v>56</v>
      </c>
      <c r="C16" s="16">
        <v>2021</v>
      </c>
      <c r="D16" s="14" t="s">
        <v>187</v>
      </c>
      <c r="E16" s="14" t="s">
        <v>60</v>
      </c>
      <c r="F16" s="14"/>
      <c r="G16" s="14" t="s">
        <v>238</v>
      </c>
      <c r="H16" s="16">
        <v>6</v>
      </c>
      <c r="I16" s="14"/>
      <c r="J16" s="14" t="s">
        <v>241</v>
      </c>
      <c r="K16" s="14" t="s">
        <v>242</v>
      </c>
      <c r="L16" s="14" t="s">
        <v>243</v>
      </c>
      <c r="M16" s="14"/>
      <c r="N16" s="14" t="s">
        <v>244</v>
      </c>
      <c r="O16" s="14"/>
      <c r="P16" s="14"/>
      <c r="Q16" s="14"/>
      <c r="R16" s="14" t="s">
        <v>408</v>
      </c>
      <c r="S16" s="16" t="s">
        <v>409</v>
      </c>
    </row>
    <row r="17" spans="1:19" ht="60" x14ac:dyDescent="0.25">
      <c r="A17" s="14" t="s">
        <v>61</v>
      </c>
      <c r="B17" s="15" t="s">
        <v>62</v>
      </c>
      <c r="C17" s="16">
        <v>2021</v>
      </c>
      <c r="D17" s="14" t="s">
        <v>187</v>
      </c>
      <c r="E17" s="14" t="s">
        <v>412</v>
      </c>
      <c r="F17" s="14"/>
      <c r="G17" s="14" t="s">
        <v>481</v>
      </c>
      <c r="H17" s="16">
        <v>6</v>
      </c>
      <c r="I17" s="14"/>
      <c r="J17" s="14" t="s">
        <v>249</v>
      </c>
      <c r="K17" s="14"/>
      <c r="L17" s="14">
        <v>8000</v>
      </c>
      <c r="M17" s="14">
        <v>95.87</v>
      </c>
      <c r="N17" s="17">
        <v>0.95669999999999999</v>
      </c>
      <c r="O17" s="14">
        <v>95.67</v>
      </c>
      <c r="P17" s="14"/>
      <c r="Q17" s="14" t="s">
        <v>482</v>
      </c>
      <c r="R17" s="14" t="s">
        <v>414</v>
      </c>
      <c r="S17" s="16"/>
    </row>
    <row r="18" spans="1:19" ht="105" x14ac:dyDescent="0.25">
      <c r="A18" s="36" t="s">
        <v>483</v>
      </c>
      <c r="B18" s="39" t="s">
        <v>162</v>
      </c>
      <c r="C18" s="42">
        <v>2022</v>
      </c>
      <c r="D18" s="46" t="s">
        <v>206</v>
      </c>
      <c r="E18" s="46" t="s">
        <v>484</v>
      </c>
      <c r="F18" s="46"/>
      <c r="G18" s="46" t="s">
        <v>359</v>
      </c>
      <c r="H18" s="42">
        <v>6</v>
      </c>
      <c r="I18" s="46"/>
      <c r="J18" s="46" t="s">
        <v>361</v>
      </c>
      <c r="K18" s="46" t="s">
        <v>362</v>
      </c>
      <c r="L18" s="46" t="s">
        <v>485</v>
      </c>
      <c r="M18" s="46">
        <v>78.569999999999993</v>
      </c>
      <c r="N18" s="58">
        <v>0.84619999999999995</v>
      </c>
      <c r="O18" s="46">
        <v>84.62</v>
      </c>
      <c r="P18" s="46"/>
      <c r="Q18" s="36" t="s">
        <v>442</v>
      </c>
      <c r="R18" s="36" t="s">
        <v>443</v>
      </c>
      <c r="S18" s="46"/>
    </row>
    <row r="19" spans="1:19" ht="90" x14ac:dyDescent="0.25">
      <c r="A19" s="36" t="s">
        <v>448</v>
      </c>
      <c r="B19" s="39" t="s">
        <v>97</v>
      </c>
      <c r="C19" s="42">
        <v>2020</v>
      </c>
      <c r="D19" s="46" t="s">
        <v>187</v>
      </c>
      <c r="E19" s="14" t="s">
        <v>486</v>
      </c>
      <c r="F19" s="46"/>
      <c r="G19" s="46" t="s">
        <v>270</v>
      </c>
      <c r="H19" s="42">
        <v>6</v>
      </c>
      <c r="I19" s="36" t="s">
        <v>487</v>
      </c>
      <c r="J19" s="36" t="s">
        <v>295</v>
      </c>
      <c r="K19" s="46"/>
      <c r="L19" s="46"/>
      <c r="M19" s="46"/>
      <c r="N19" s="36" t="s">
        <v>296</v>
      </c>
      <c r="O19" s="46"/>
      <c r="P19" s="46"/>
      <c r="Q19" s="46"/>
      <c r="R19" s="36" t="s">
        <v>451</v>
      </c>
      <c r="S19" s="46"/>
    </row>
    <row r="20" spans="1:19" ht="45" x14ac:dyDescent="0.25">
      <c r="A20" s="14" t="s">
        <v>65</v>
      </c>
      <c r="B20" s="15" t="s">
        <v>66</v>
      </c>
      <c r="C20" s="16">
        <v>2021</v>
      </c>
      <c r="D20" s="14" t="s">
        <v>187</v>
      </c>
      <c r="E20" s="14" t="s">
        <v>68</v>
      </c>
      <c r="F20" s="14"/>
      <c r="G20" s="14" t="s">
        <v>488</v>
      </c>
      <c r="H20" s="16">
        <v>7</v>
      </c>
      <c r="I20" s="14"/>
      <c r="J20" s="14" t="s">
        <v>254</v>
      </c>
      <c r="K20" s="14" t="s">
        <v>255</v>
      </c>
      <c r="L20" s="14" t="s">
        <v>256</v>
      </c>
      <c r="M20" s="14"/>
      <c r="N20" s="18">
        <v>0.81</v>
      </c>
      <c r="O20" s="14"/>
      <c r="P20" s="14"/>
      <c r="Q20" s="14" t="s">
        <v>421</v>
      </c>
      <c r="R20" s="14" t="s">
        <v>422</v>
      </c>
      <c r="S20" s="16"/>
    </row>
    <row r="21" spans="1:19" ht="60" x14ac:dyDescent="0.25">
      <c r="A21" s="14" t="s">
        <v>425</v>
      </c>
      <c r="B21" s="15" t="s">
        <v>70</v>
      </c>
      <c r="C21" s="16">
        <v>2021</v>
      </c>
      <c r="D21" s="14" t="s">
        <v>187</v>
      </c>
      <c r="E21" s="14" t="s">
        <v>74</v>
      </c>
      <c r="F21" s="14"/>
      <c r="G21" s="14" t="s">
        <v>266</v>
      </c>
      <c r="H21" s="16">
        <v>7</v>
      </c>
      <c r="I21" s="14"/>
      <c r="J21" s="14" t="s">
        <v>262</v>
      </c>
      <c r="K21" s="14" t="s">
        <v>263</v>
      </c>
      <c r="L21" s="14" t="s">
        <v>264</v>
      </c>
      <c r="M21" s="14">
        <v>96.4</v>
      </c>
      <c r="N21" s="17">
        <v>0.97070000000000001</v>
      </c>
      <c r="O21" s="14">
        <v>96.3</v>
      </c>
      <c r="P21" s="14"/>
      <c r="Q21" s="14" t="s">
        <v>426</v>
      </c>
      <c r="R21" s="14" t="s">
        <v>427</v>
      </c>
      <c r="S21" s="16"/>
    </row>
    <row r="22" spans="1:19" ht="45" x14ac:dyDescent="0.25">
      <c r="A22" s="8" t="s">
        <v>20</v>
      </c>
      <c r="B22" s="12" t="s">
        <v>21</v>
      </c>
      <c r="C22" s="11">
        <v>2022</v>
      </c>
      <c r="D22" s="8" t="s">
        <v>194</v>
      </c>
      <c r="E22" s="8" t="s">
        <v>26</v>
      </c>
      <c r="F22" s="8"/>
      <c r="G22" s="8" t="s">
        <v>489</v>
      </c>
      <c r="H22" s="11">
        <v>8</v>
      </c>
      <c r="I22" s="8"/>
      <c r="J22" s="8"/>
      <c r="K22" s="8"/>
      <c r="L22" s="8"/>
      <c r="M22" s="8"/>
      <c r="N22" s="13">
        <v>0.98</v>
      </c>
      <c r="O22" s="8"/>
      <c r="P22" s="8"/>
      <c r="Q22" s="8"/>
      <c r="R22" s="8" t="s">
        <v>381</v>
      </c>
      <c r="S22" s="11"/>
    </row>
    <row r="23" spans="1:19" ht="45" x14ac:dyDescent="0.25">
      <c r="A23" s="30" t="s">
        <v>75</v>
      </c>
      <c r="B23" s="30" t="s">
        <v>76</v>
      </c>
      <c r="C23" s="67">
        <v>2021</v>
      </c>
      <c r="D23" s="30" t="s">
        <v>206</v>
      </c>
      <c r="E23" s="30" t="s">
        <v>490</v>
      </c>
      <c r="F23" s="30"/>
      <c r="G23" s="30" t="s">
        <v>266</v>
      </c>
      <c r="H23" s="67">
        <v>8</v>
      </c>
      <c r="I23" s="30"/>
      <c r="J23" s="30" t="s">
        <v>491</v>
      </c>
      <c r="K23" s="30" t="s">
        <v>270</v>
      </c>
      <c r="L23" s="30"/>
      <c r="M23" s="30"/>
      <c r="N23" s="30" t="s">
        <v>271</v>
      </c>
      <c r="O23" s="30"/>
      <c r="P23" s="30"/>
      <c r="Q23" s="30"/>
      <c r="R23" s="30" t="s">
        <v>430</v>
      </c>
      <c r="S23" s="67"/>
    </row>
    <row r="24" spans="1:19" ht="45" x14ac:dyDescent="0.25">
      <c r="A24" s="27" t="s">
        <v>388</v>
      </c>
      <c r="B24" s="27" t="s">
        <v>153</v>
      </c>
      <c r="C24" s="43">
        <v>2022</v>
      </c>
      <c r="D24" s="27" t="s">
        <v>194</v>
      </c>
      <c r="E24" s="27" t="s">
        <v>155</v>
      </c>
      <c r="F24" s="27"/>
      <c r="G24" s="50" t="s">
        <v>350</v>
      </c>
      <c r="H24" s="43">
        <v>9</v>
      </c>
      <c r="I24" s="27"/>
      <c r="J24" s="50" t="s">
        <v>352</v>
      </c>
      <c r="K24" s="27"/>
      <c r="L24" s="27"/>
      <c r="M24" s="27"/>
      <c r="N24" s="59"/>
      <c r="O24" s="27"/>
      <c r="P24" s="59">
        <v>0.87</v>
      </c>
      <c r="Q24" s="27"/>
      <c r="R24" s="27"/>
      <c r="S24" s="43"/>
    </row>
    <row r="25" spans="1:19" ht="75" x14ac:dyDescent="0.25">
      <c r="A25" s="37" t="s">
        <v>146</v>
      </c>
      <c r="B25" s="40" t="s">
        <v>138</v>
      </c>
      <c r="C25" s="45">
        <v>2022</v>
      </c>
      <c r="D25" s="40" t="s">
        <v>187</v>
      </c>
      <c r="E25" s="27" t="s">
        <v>492</v>
      </c>
      <c r="F25" s="27"/>
      <c r="G25" s="27" t="s">
        <v>493</v>
      </c>
      <c r="H25" s="43">
        <v>10</v>
      </c>
      <c r="I25" s="27"/>
      <c r="J25" s="27" t="s">
        <v>347</v>
      </c>
      <c r="K25" s="27" t="s">
        <v>186</v>
      </c>
      <c r="L25" s="50" t="s">
        <v>348</v>
      </c>
      <c r="M25" s="40"/>
      <c r="N25" s="62">
        <v>0.90600000000000003</v>
      </c>
      <c r="O25" s="62"/>
      <c r="P25" s="62"/>
      <c r="Q25" s="40"/>
      <c r="R25" s="40" t="s">
        <v>465</v>
      </c>
      <c r="S25" s="65"/>
    </row>
    <row r="26" spans="1:19" ht="60" x14ac:dyDescent="0.25">
      <c r="A26" s="27" t="s">
        <v>40</v>
      </c>
      <c r="B26" s="27" t="s">
        <v>41</v>
      </c>
      <c r="C26" s="43">
        <v>2018</v>
      </c>
      <c r="D26" s="27" t="s">
        <v>206</v>
      </c>
      <c r="E26" s="27" t="s">
        <v>19</v>
      </c>
      <c r="F26" s="27"/>
      <c r="G26" s="27" t="s">
        <v>494</v>
      </c>
      <c r="H26" s="43">
        <v>12</v>
      </c>
      <c r="I26" s="27"/>
      <c r="J26" s="27" t="s">
        <v>221</v>
      </c>
      <c r="K26" s="28" t="s">
        <v>186</v>
      </c>
      <c r="L26" s="27" t="s">
        <v>222</v>
      </c>
      <c r="M26" s="27"/>
      <c r="N26" s="59">
        <v>0.95</v>
      </c>
      <c r="O26" s="27"/>
      <c r="P26" s="27"/>
      <c r="Q26" s="27" t="s">
        <v>495</v>
      </c>
      <c r="R26" s="27" t="s">
        <v>398</v>
      </c>
      <c r="S26" s="43"/>
    </row>
    <row r="27" spans="1:19" ht="75" x14ac:dyDescent="0.25">
      <c r="A27" s="31" t="s">
        <v>496</v>
      </c>
      <c r="B27" s="32" t="s">
        <v>88</v>
      </c>
      <c r="C27" s="33">
        <v>2022</v>
      </c>
      <c r="D27" s="32" t="s">
        <v>187</v>
      </c>
      <c r="E27" s="32" t="s">
        <v>19</v>
      </c>
      <c r="F27" s="32"/>
      <c r="G27" s="32" t="s">
        <v>270</v>
      </c>
      <c r="H27" s="33">
        <v>15</v>
      </c>
      <c r="I27" s="32"/>
      <c r="J27" s="32" t="s">
        <v>497</v>
      </c>
      <c r="K27" s="31" t="s">
        <v>285</v>
      </c>
      <c r="L27" s="32" t="s">
        <v>286</v>
      </c>
      <c r="M27" s="32"/>
      <c r="N27" s="34">
        <v>0.98819999999999997</v>
      </c>
      <c r="O27" s="32"/>
      <c r="P27" s="32"/>
      <c r="Q27" s="31" t="s">
        <v>438</v>
      </c>
      <c r="R27" s="32" t="s">
        <v>439</v>
      </c>
      <c r="S27" s="32"/>
    </row>
    <row r="28" spans="1:19" ht="31.5" x14ac:dyDescent="0.25">
      <c r="A28" s="66" t="s">
        <v>0</v>
      </c>
      <c r="B28" s="66" t="s">
        <v>1</v>
      </c>
      <c r="C28" s="68" t="s">
        <v>2</v>
      </c>
      <c r="D28" s="66" t="s">
        <v>164</v>
      </c>
      <c r="E28" s="66" t="s">
        <v>8</v>
      </c>
      <c r="F28" s="66" t="s">
        <v>171</v>
      </c>
      <c r="G28" s="66" t="s">
        <v>168</v>
      </c>
      <c r="H28" s="68" t="s">
        <v>169</v>
      </c>
      <c r="I28" s="66"/>
      <c r="J28" s="66" t="s">
        <v>172</v>
      </c>
      <c r="K28" s="66" t="s">
        <v>173</v>
      </c>
      <c r="L28" s="66" t="s">
        <v>174</v>
      </c>
      <c r="M28" s="66" t="s">
        <v>175</v>
      </c>
      <c r="N28" s="66" t="s">
        <v>176</v>
      </c>
      <c r="O28" s="66" t="s">
        <v>177</v>
      </c>
      <c r="P28" s="66" t="s">
        <v>178</v>
      </c>
      <c r="Q28" s="66" t="s">
        <v>375</v>
      </c>
      <c r="R28" s="66" t="s">
        <v>376</v>
      </c>
      <c r="S28" s="66" t="s">
        <v>377</v>
      </c>
    </row>
  </sheetData>
  <sortState xmlns:xlrd2="http://schemas.microsoft.com/office/spreadsheetml/2017/richdata2" ref="A1:S28">
    <sortCondition ref="H1:H28"/>
  </sortState>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6B0467C8778A4896096E58A738E877" ma:contentTypeVersion="4" ma:contentTypeDescription="Create a new document." ma:contentTypeScope="" ma:versionID="a8f5d213ce12075409aa9292d25b5485">
  <xsd:schema xmlns:xsd="http://www.w3.org/2001/XMLSchema" xmlns:xs="http://www.w3.org/2001/XMLSchema" xmlns:p="http://schemas.microsoft.com/office/2006/metadata/properties" xmlns:ns2="22889b2a-e369-4f7d-9ac6-bb136fb8b756" targetNamespace="http://schemas.microsoft.com/office/2006/metadata/properties" ma:root="true" ma:fieldsID="ff8afc11520742ae1b26ea4082abcef4" ns2:_="">
    <xsd:import namespace="22889b2a-e369-4f7d-9ac6-bb136fb8b75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889b2a-e369-4f7d-9ac6-bb136fb8b7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5BC9BC-2C06-468A-BAD2-F311B2EA373A}">
  <ds:schemaRefs>
    <ds:schemaRef ds:uri="http://schemas.microsoft.com/sharepoint/v3/contenttype/forms"/>
  </ds:schemaRefs>
</ds:datastoreItem>
</file>

<file path=customXml/itemProps2.xml><?xml version="1.0" encoding="utf-8"?>
<ds:datastoreItem xmlns:ds="http://schemas.openxmlformats.org/officeDocument/2006/customXml" ds:itemID="{5224A2D3-799A-4CFF-9450-A7320BB3A2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889b2a-e369-4f7d-9ac6-bb136fb8b7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AE1D26-874A-42F4-B693-E19F8FFD471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Sensor type</vt:lpstr>
      <vt:lpstr>ArrayvsAsymmetric</vt:lpstr>
      <vt:lpstr>sensors vs posture</vt:lpstr>
      <vt:lpstr>Summary old</vt:lpstr>
      <vt:lpstr>sorted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Sharsheer</dc:creator>
  <cp:keywords/>
  <dc:description/>
  <cp:lastModifiedBy>Muhammad Nadeem</cp:lastModifiedBy>
  <cp:revision/>
  <dcterms:created xsi:type="dcterms:W3CDTF">2023-01-16T07:40:06Z</dcterms:created>
  <dcterms:modified xsi:type="dcterms:W3CDTF">2026-02-02T13:41:40Z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0x010100D86B0467C8778A4896096E58A738E877</vt:lpwstr>
  </property>
</Properties>
</file>